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<sst xmlns="http://schemas.openxmlformats.org/spreadsheetml/2006/main" uniqueCount="36">
  <si>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Periode</t>
  </si>
  <si>
    <t>Nama Karyawan</t>
  </si>
  <si>
    <t>No Rekening</t>
  </si>
  <si>
    <t>Jumlah</t>
  </si>
  <si>
    <t>Gaji Pokok (Rp)</t>
  </si>
  <si>
    <t>Kehadiran</t>
  </si>
  <si>
    <t>Transport (Rp)</t>
  </si>
  <si>
    <t>Tunj. Kesehatan ( Rp )</t>
  </si>
  <si>
    <t>Tunj. Jabatan ( Rp )</t>
  </si>
  <si>
    <t>Total Gaji ( Rp )</t>
  </si>
  <si>
    <t>Lembur ( Rp )</t>
  </si>
  <si>
    <t>Insentif Lebaran</t>
  </si>
  <si>
    <t>Adj Kekurangan Gaji</t>
  </si>
  <si>
    <t>Total Gaji (Rp)</t>
  </si>
  <si>
    <t>Kebijakan HO</t>
  </si>
  <si>
    <t>Potongan (Rp)</t>
  </si>
  <si>
    <t>Grand Total (Rp)</t>
  </si>
  <si>
    <t>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</si>
  <si>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</si>
  <si>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</si>
  <si>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</si>
  <si>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</si>
  <si>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</si>
  <si>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</si>
  <si>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</si>
  <si>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</si>
  <si>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</si>
  <si>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</si>
  <si>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</si>
  <si>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</si>
  <si>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</si>
  <si>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</si>
  <si>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</si>
  <si>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</si>
  <si>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</si>
  <si>
    <t>Maya Estianty</t>
  </si>
</sst>
</file>

<file path=xl/styles.xml><?xml version="1.0" encoding="utf-8"?>
<styleSheet xmlns="http://schemas.openxmlformats.org/spreadsheetml/2006/main" xml:space="preserve">
  <numFmts count="1">
    <numFmt numFmtId="164" formatCode="_-&quot;Rp&quot;* #,##0_-;-&quot;Rp&quot;* #,##0_-;_-&quot;Rp&quot;* &quot;-&quot;_-;_-@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1" workbookViewId="0" showGridLines="true" showRowColHeaders="1">
      <selection activeCell="AJ4" sqref="AJ4"/>
    </sheetView>
  </sheetViews>
  <sheetFormatPr defaultRowHeight="14.4" outlineLevelRow="0" outlineLevelCol="0"/>
  <sheetData>
    <row r="1" spans="1:36">
      <c r="A1"/>
    </row>
    <row r="2" spans="1:36">
      <c r="A2" t="s">
        <v>0</v>
      </c>
      <c r="B2" t="s">
        <v>1</v>
      </c>
      <c r="C2" t="s">
        <v>2</v>
      </c>
      <c r="D2" t="s">
        <v>3</v>
      </c>
      <c r="K2" t="s">
        <v>4</v>
      </c>
      <c r="L2" t="s">
        <v>5</v>
      </c>
      <c r="M2"/>
      <c r="N2" t="s">
        <v>6</v>
      </c>
      <c r="O2"/>
      <c r="P2" t="s">
        <v>7</v>
      </c>
      <c r="Q2"/>
      <c r="R2" t="s">
        <v>8</v>
      </c>
      <c r="S2" t="s">
        <v>9</v>
      </c>
      <c r="T2" t="s">
        <v>10</v>
      </c>
      <c r="U2"/>
      <c r="V2"/>
      <c r="W2" t="s">
        <v>11</v>
      </c>
      <c r="X2" t="s">
        <v>12</v>
      </c>
      <c r="Y2" t="s">
        <v>13</v>
      </c>
      <c r="Z2" t="s">
        <v>14</v>
      </c>
      <c r="AA2" t="s">
        <v>15</v>
      </c>
      <c r="AG2"/>
      <c r="AH2" t="s">
        <v>16</v>
      </c>
      <c r="AI2" t="s">
        <v>17</v>
      </c>
      <c r="AJ2" t="s">
        <v>18</v>
      </c>
    </row>
    <row r="3" spans="1:36"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L3" t="s">
        <v>26</v>
      </c>
      <c r="M3" t="s">
        <v>3</v>
      </c>
      <c r="N3" t="s">
        <v>26</v>
      </c>
      <c r="O3" t="s">
        <v>3</v>
      </c>
      <c r="P3" t="s">
        <v>26</v>
      </c>
      <c r="Q3" t="s">
        <v>3</v>
      </c>
      <c r="T3" t="s">
        <v>27</v>
      </c>
      <c r="U3" t="s">
        <v>28</v>
      </c>
      <c r="V3" t="s">
        <v>3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G3" t="s">
        <v>3</v>
      </c>
    </row>
    <row r="4" spans="1:36">
      <c r="A4">
        <v>46023</v>
      </c>
      <c r="B4" t="s">
        <v>35</v>
      </c>
      <c r="C4">
        <v>7295554665</v>
      </c>
      <c r="D4">
        <v>31</v>
      </c>
      <c r="E4">
        <v>8</v>
      </c>
      <c r="F4">
        <v>2</v>
      </c>
      <c r="G4">
        <v>1</v>
      </c>
      <c r="H4"/>
      <c r="I4">
        <v>1</v>
      </c>
      <c r="J4">
        <v>20</v>
      </c>
      <c r="K4" s="1">
        <v>5000000</v>
      </c>
      <c r="L4">
        <v>10000</v>
      </c>
      <c r="M4" s="1">
        <v>200000</v>
      </c>
      <c r="N4">
        <v>10000</v>
      </c>
      <c r="O4" s="1">
        <v>200000</v>
      </c>
      <c r="P4">
        <v>100000</v>
      </c>
      <c r="Q4" s="1">
        <v>100000</v>
      </c>
      <c r="R4" s="1">
        <v>100000</v>
      </c>
      <c r="S4" s="1">
        <f>K4+M4+O4+Q4+R4</f>
        <v>5600000</v>
      </c>
      <c r="T4">
        <v>10000</v>
      </c>
      <c r="U4">
        <v>5</v>
      </c>
      <c r="V4" s="1">
        <v>50000</v>
      </c>
      <c r="W4" s="1">
        <v>100000</v>
      </c>
      <c r="X4"/>
      <c r="Y4" s="1">
        <f>S4+V4+W4</f>
        <v>5750000</v>
      </c>
      <c r="Z4"/>
      <c r="AA4" s="1">
        <v>20000</v>
      </c>
      <c r="AB4" s="1">
        <v>20000</v>
      </c>
      <c r="AC4" s="1">
        <v>50000</v>
      </c>
      <c r="AD4" s="1">
        <v>200000</v>
      </c>
      <c r="AE4" s="1">
        <v>2500</v>
      </c>
      <c r="AF4" s="1">
        <v>217000</v>
      </c>
      <c r="AG4" s="1">
        <f>AA4+AB4+AC4+AD4+AE4+AF4</f>
        <v>509500</v>
      </c>
      <c r="AH4" s="1">
        <f>Y4-AG4</f>
        <v>5240500</v>
      </c>
      <c r="AI4" s="1">
        <v>517500</v>
      </c>
      <c r="AJ4" s="1">
        <f>AH4-AI4</f>
        <v>4723000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2026-01-19T10:44:18+01:00</dcterms:created>
  <dcterms:modified xsi:type="dcterms:W3CDTF">2026-01-19T10:44:18+01:00</dcterms:modified>
  <dc:title>Untitled Spreadsheet</dc:title>
  <dc:description/>
  <dc:subject/>
  <cp:keywords/>
  <cp:category/>
</cp:coreProperties>
</file>