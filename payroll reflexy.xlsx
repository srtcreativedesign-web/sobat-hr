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<sst xmlns="http://schemas.openxmlformats.org/spreadsheetml/2006/main" count="46" uniqueCount="39">
  <si>
    <t>No</t>
  </si>
  <si>
    <t>Nama Karyawan</t>
  </si>
  <si>
    <t>NO Rekening</t>
  </si>
  <si>
    <t>Jumlah</t>
  </si>
  <si>
    <t>Gaji Pokok (Rp)</t>
  </si>
  <si>
    <t>Uang Makan (Rp)</t>
  </si>
  <si>
    <t>Transport (Rp)</t>
  </si>
  <si>
    <t>Tunj Kehadrian (Rp)</t>
  </si>
  <si>
    <t>Tunjangan Jabatan</t>
  </si>
  <si>
    <t>Tunj. Kesehatan      ( Rp )</t>
  </si>
  <si>
    <t>Total Gaji            ( Rp )</t>
  </si>
  <si>
    <t>Lembur wajib( Rp )</t>
  </si>
  <si>
    <t>Bonus</t>
  </si>
  <si>
    <t xml:space="preserve">Insentif </t>
  </si>
  <si>
    <t>Total Gaji &amp; Bonus           (Rp)</t>
  </si>
  <si>
    <t>Kebijakan HO</t>
  </si>
  <si>
    <t>Potongan (Rp)</t>
  </si>
  <si>
    <t xml:space="preserve"> Grand Total (Rp)</t>
  </si>
  <si>
    <t>Masa Kerja</t>
  </si>
  <si>
    <t>Ket</t>
  </si>
  <si>
    <t>Hari</t>
  </si>
  <si>
    <t>Off</t>
  </si>
  <si>
    <t>Sakit</t>
  </si>
  <si>
    <t>Ijin</t>
  </si>
  <si>
    <t>Alfa</t>
  </si>
  <si>
    <t>Cuti</t>
  </si>
  <si>
    <t>Long shift</t>
  </si>
  <si>
    <t>Ada</t>
  </si>
  <si>
    <t>/ Hari</t>
  </si>
  <si>
    <t>/ Jam</t>
  </si>
  <si>
    <t>Jam</t>
  </si>
  <si>
    <t>Absen 1X</t>
  </si>
  <si>
    <t>Terlambat</t>
  </si>
  <si>
    <t>Tidak Hadir</t>
  </si>
  <si>
    <t>Pinjaman</t>
  </si>
  <si>
    <t>Adm Bank</t>
  </si>
  <si>
    <t>BPJS TK</t>
  </si>
  <si>
    <t>Pevita Pearce</t>
  </si>
  <si>
    <t>1 tahun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</si>
</sst>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_-;_-@"/>
  </numFmts>
  <fonts count="6">
    <font>
      <sz val="10.0"/>
      <color rgb="FF000000"/>
      <name val="Arial"/>
      <scheme val="minor"/>
    </font>
    <font>
      <sz val="11.0"/>
      <color theme="1"/>
      <name val="Candara"/>
    </font>
    <font/>
    <font>
      <b/>
      <sz val="11.0"/>
      <color theme="1"/>
      <name val="Candara"/>
    </font>
    <font>
      <sz val="11.0"/>
      <color theme="1"/>
      <name val="Calibri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</fills>
  <borders count="15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3" fillId="2" fontId="1" numFmtId="0" xfId="0" applyAlignment="1" applyBorder="1" applyFont="1">
      <alignment horizontal="center" shrinkToFit="0" wrapText="1"/>
    </xf>
    <xf borderId="4" fillId="0" fontId="2" numFmtId="0" xfId="0" applyBorder="1" applyFont="1"/>
    <xf borderId="5" fillId="0" fontId="2" numFmtId="0" xfId="0" applyBorder="1" applyFont="1"/>
    <xf borderId="3" fillId="2" fontId="1" numFmtId="164" xfId="0" applyAlignment="1" applyBorder="1" applyFont="1" applyNumberFormat="1">
      <alignment horizontal="center" shrinkToFit="0" wrapText="1"/>
    </xf>
    <xf borderId="2" fillId="2" fontId="1" numFmtId="164" xfId="0" applyAlignment="1" applyBorder="1" applyFont="1" applyNumberFormat="1">
      <alignment horizontal="center" shrinkToFit="0" wrapText="1"/>
    </xf>
    <xf borderId="2" fillId="2" fontId="3" numFmtId="164" xfId="0" applyAlignment="1" applyBorder="1" applyFont="1" applyNumberFormat="1">
      <alignment horizontal="center" shrinkToFit="0" wrapText="1"/>
    </xf>
    <xf borderId="6" fillId="2" fontId="1" numFmtId="164" xfId="0" applyAlignment="1" applyBorder="1" applyFont="1" applyNumberFormat="1">
      <alignment horizontal="center" shrinkToFit="0" wrapText="1"/>
    </xf>
    <xf borderId="7" fillId="0" fontId="2" numFmtId="0" xfId="0" applyBorder="1" applyFont="1"/>
    <xf borderId="8" fillId="0" fontId="2" numFmtId="0" xfId="0" applyBorder="1" applyFont="1"/>
    <xf borderId="9" fillId="2" fontId="1" numFmtId="0" xfId="0" applyAlignment="1" applyBorder="1" applyFont="1">
      <alignment horizontal="center" shrinkToFit="0" wrapText="1"/>
    </xf>
    <xf borderId="10" fillId="0" fontId="2" numFmtId="0" xfId="0" applyBorder="1" applyFont="1"/>
    <xf borderId="11" fillId="0" fontId="2" numFmtId="0" xfId="0" applyBorder="1" applyFont="1"/>
    <xf borderId="12" fillId="2" fontId="1" numFmtId="0" xfId="0" applyAlignment="1" applyBorder="1" applyFont="1">
      <alignment horizontal="center" shrinkToFit="0" wrapText="1"/>
    </xf>
    <xf borderId="12" fillId="2" fontId="1" numFmtId="164" xfId="0" applyAlignment="1" applyBorder="1" applyFont="1" applyNumberFormat="1">
      <alignment horizontal="center" shrinkToFit="0" wrapText="1"/>
    </xf>
    <xf borderId="12" fillId="2" fontId="1" numFmtId="164" xfId="0" applyAlignment="1" applyBorder="1" applyFont="1" applyNumberFormat="1">
      <alignment shrinkToFit="0" wrapText="1"/>
    </xf>
    <xf borderId="13" fillId="0" fontId="2" numFmtId="0" xfId="0" applyBorder="1" applyFont="1"/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14" fillId="0" fontId="5" numFmtId="0" xfId="0" applyAlignment="1" applyBorder="1" applyFont="1">
      <alignment horizontal="right" vertical="bottom"/>
    </xf>
    <xf borderId="14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2" t="s">
        <v>1</v>
      </c>
      <c r="C3" s="2" t="s">
        <v>2</v>
      </c>
      <c r="D3" s="3" t="s">
        <v>3</v>
      </c>
      <c r="E3" s="4"/>
      <c r="F3" s="4"/>
      <c r="G3" s="4"/>
      <c r="H3" s="4"/>
      <c r="I3" s="4"/>
      <c r="J3" s="4"/>
      <c r="K3" s="5"/>
      <c r="L3" s="2" t="s">
        <v>4</v>
      </c>
      <c r="M3" s="6" t="s">
        <v>5</v>
      </c>
      <c r="N3" s="5"/>
      <c r="O3" s="6" t="s">
        <v>6</v>
      </c>
      <c r="P3" s="5"/>
      <c r="Q3" s="6" t="s">
        <v>7</v>
      </c>
      <c r="R3" s="5"/>
      <c r="S3" s="7" t="s">
        <v>8</v>
      </c>
      <c r="T3" s="7" t="s">
        <v>9</v>
      </c>
      <c r="U3" s="8" t="s">
        <v>10</v>
      </c>
      <c r="V3" s="9" t="s">
        <v>11</v>
      </c>
      <c r="W3" s="10"/>
      <c r="X3" s="11"/>
      <c r="Y3" s="7" t="s">
        <v>12</v>
      </c>
      <c r="Z3" s="7" t="s">
        <v>13</v>
      </c>
      <c r="AA3" s="8" t="s">
        <v>14</v>
      </c>
      <c r="AB3" s="8" t="s">
        <v>15</v>
      </c>
      <c r="AC3" s="6" t="s">
        <v>16</v>
      </c>
      <c r="AD3" s="4"/>
      <c r="AE3" s="4"/>
      <c r="AF3" s="4"/>
      <c r="AG3" s="4"/>
      <c r="AH3" s="4"/>
      <c r="AI3" s="5"/>
      <c r="AJ3" s="8" t="s">
        <v>17</v>
      </c>
      <c r="AK3" s="2" t="s">
        <v>18</v>
      </c>
      <c r="AL3" s="12" t="s">
        <v>19</v>
      </c>
    </row>
    <row r="4">
      <c r="A4" s="13"/>
      <c r="B4" s="14"/>
      <c r="C4" s="14"/>
      <c r="D4" s="15" t="s">
        <v>20</v>
      </c>
      <c r="E4" s="15" t="s">
        <v>21</v>
      </c>
      <c r="F4" s="15" t="s">
        <v>22</v>
      </c>
      <c r="G4" s="15" t="s">
        <v>23</v>
      </c>
      <c r="H4" s="15" t="s">
        <v>24</v>
      </c>
      <c r="I4" s="15" t="s">
        <v>25</v>
      </c>
      <c r="J4" s="15" t="s">
        <v>26</v>
      </c>
      <c r="K4" s="15" t="s">
        <v>27</v>
      </c>
      <c r="L4" s="14"/>
      <c r="M4" s="16" t="s">
        <v>28</v>
      </c>
      <c r="N4" s="16" t="s">
        <v>3</v>
      </c>
      <c r="O4" s="16" t="s">
        <v>28</v>
      </c>
      <c r="P4" s="16" t="s">
        <v>3</v>
      </c>
      <c r="Q4" s="16" t="s">
        <v>28</v>
      </c>
      <c r="R4" s="16" t="s">
        <v>3</v>
      </c>
      <c r="S4" s="14"/>
      <c r="T4" s="14"/>
      <c r="U4" s="14"/>
      <c r="V4" s="16" t="s">
        <v>29</v>
      </c>
      <c r="W4" s="16" t="s">
        <v>30</v>
      </c>
      <c r="X4" s="16" t="s">
        <v>3</v>
      </c>
      <c r="Y4" s="14"/>
      <c r="Z4" s="14"/>
      <c r="AA4" s="14"/>
      <c r="AB4" s="14"/>
      <c r="AC4" s="16" t="s">
        <v>31</v>
      </c>
      <c r="AD4" s="16" t="s">
        <v>32</v>
      </c>
      <c r="AE4" s="16" t="s">
        <v>33</v>
      </c>
      <c r="AF4" s="16" t="s">
        <v>34</v>
      </c>
      <c r="AG4" s="17" t="s">
        <v>35</v>
      </c>
      <c r="AH4" s="16" t="s">
        <v>36</v>
      </c>
      <c r="AI4" s="16" t="s">
        <v>3</v>
      </c>
      <c r="AJ4" s="14"/>
      <c r="AK4" s="14"/>
      <c r="AL4" s="18"/>
    </row>
    <row r="5">
      <c r="A5" s="19">
        <v>1.0</v>
      </c>
      <c r="B5" s="20" t="s">
        <v>37</v>
      </c>
      <c r="C5" s="19">
        <v>5.4672155416E10</v>
      </c>
      <c r="D5" s="21">
        <v>31.0</v>
      </c>
      <c r="E5" s="21">
        <v>8.0</v>
      </c>
      <c r="F5" s="21">
        <v>1.0</v>
      </c>
      <c r="G5" s="21">
        <v>1.0</v>
      </c>
      <c r="H5" s="22"/>
      <c r="I5" s="22"/>
      <c r="J5" s="21">
        <v>2.0</v>
      </c>
      <c r="K5" s="19">
        <f>D5-E5-F5-G5</f>
        <v>21</v>
      </c>
      <c r="L5" s="19">
        <v>3000000.0</v>
      </c>
      <c r="M5" s="19">
        <v>20000.0</v>
      </c>
      <c r="N5" s="19">
        <f>M5*K5</f>
        <v>420000</v>
      </c>
      <c r="O5" s="19">
        <v>15000.0</v>
      </c>
      <c r="P5" s="19">
        <f>O5*K5</f>
        <v>315000</v>
      </c>
      <c r="Q5" s="19">
        <v>10000.0</v>
      </c>
      <c r="R5" s="19">
        <f>Q5*K5</f>
        <v>210000</v>
      </c>
      <c r="S5" s="20"/>
      <c r="T5" s="19">
        <v>200000.0</v>
      </c>
      <c r="U5" s="19">
        <f>sum(T5,R5,P5,N5,L5)</f>
        <v>4145000</v>
      </c>
      <c r="V5" s="19">
        <v>20000.0</v>
      </c>
      <c r="W5" s="19">
        <v>15.0</v>
      </c>
      <c r="X5" s="19">
        <f>W5*V5</f>
        <v>300000</v>
      </c>
      <c r="Y5" s="19">
        <v>400000.0</v>
      </c>
      <c r="Z5" s="19">
        <v>200000.0</v>
      </c>
      <c r="AA5" s="19">
        <f>SUM(U5,X5:Z5)</f>
        <v>5045000</v>
      </c>
      <c r="AB5" s="20"/>
      <c r="AC5" s="19">
        <v>20000.0</v>
      </c>
      <c r="AD5" s="19">
        <v>20000.0</v>
      </c>
      <c r="AE5" s="19">
        <v>50000.0</v>
      </c>
      <c r="AF5" s="19">
        <v>200000.0</v>
      </c>
      <c r="AG5" s="19">
        <v>2500.0</v>
      </c>
      <c r="AH5" s="19">
        <v>150000.0</v>
      </c>
      <c r="AI5" s="19">
        <f>sum(AC5:AH5)</f>
        <v>442500</v>
      </c>
      <c r="AJ5" s="19">
        <f>AA5-AI5</f>
        <v>4602500</v>
      </c>
      <c r="AK5" s="20" t="s">
        <v>38</v>
      </c>
      <c r="AL5" s="20"/>
    </row>
  </sheetData>
  <mergeCells count="20">
    <mergeCell ref="A3:A4"/>
    <mergeCell ref="B3:B4"/>
    <mergeCell ref="C3:C4"/>
    <mergeCell ref="D3:K3"/>
    <mergeCell ref="L3:L4"/>
    <mergeCell ref="M3:N3"/>
    <mergeCell ref="O3:P3"/>
    <mergeCell ref="AA3:AA4"/>
    <mergeCell ref="AB3:AB4"/>
    <mergeCell ref="AC3:AI3"/>
    <mergeCell ref="AJ3:AJ4"/>
    <mergeCell ref="AK3:AK4"/>
    <mergeCell ref="AL3:AL4"/>
    <mergeCell ref="Q3:R3"/>
    <mergeCell ref="S3:S4"/>
    <mergeCell ref="T3:T4"/>
    <mergeCell ref="U3:U4"/>
    <mergeCell ref="V3:X3"/>
    <mergeCell ref="Y3:Y4"/>
    <mergeCell ref="Z3:Z4"/>
  </mergeCells>
  <drawing r:id="rId1"/>
</worksheet>
</file>