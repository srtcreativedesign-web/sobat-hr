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market" sheetId="1" r:id="rId5"/>
    <sheet state="visible" name="reflexy" sheetId="2" r:id="rId6"/>
    <sheet state="visible" name="wrapping" sheetId="3" r:id="rId7"/>
    <sheet state="visible" name="cellular" sheetId="4" r:id="rId8"/>
    <sheet state="visible" name="premium" sheetId="5" r:id="rId9"/>
  </sheets>
  <definedNames/>
  <calcPr/>
</workbook>
</file>

<file path=xl/sharedStrings.xml><?xml version="1.0" encoding="utf-8"?>
<sst xmlns="http://schemas.openxmlformats.org/spreadsheetml/2006/main" count="224" uniqueCount="63">
  <si>
    <t>No</t>
  </si>
  <si>
    <t>Nama Karyawan</t>
  </si>
  <si>
    <t>Periode</t>
  </si>
  <si>
    <t>No Rekening</t>
  </si>
  <si>
    <t>Jumlah</t>
  </si>
  <si>
    <t>Gaji Pokok (Rp)</t>
  </si>
  <si>
    <t>Uang Makan (Rp)</t>
  </si>
  <si>
    <t>Transport (Rp)</t>
  </si>
  <si>
    <t>Tunj. Kehadiran ( Rp )</t>
  </si>
  <si>
    <t>Tunj. Kesehatan      ( Rp )</t>
  </si>
  <si>
    <t>Tunj. Jabatan                  ( Rp )</t>
  </si>
  <si>
    <t>Total Gaji            ( Rp )</t>
  </si>
  <si>
    <t>Lembur ( Rp )</t>
  </si>
  <si>
    <t>Bonus</t>
  </si>
  <si>
    <t xml:space="preserve">Insentif </t>
  </si>
  <si>
    <t>Insentif lebaran</t>
  </si>
  <si>
    <t>Total Gaji &amp; Bonus           (Rp)</t>
  </si>
  <si>
    <t>Kebijakan  HO</t>
  </si>
  <si>
    <t>Potongan (Rp)</t>
  </si>
  <si>
    <t xml:space="preserve"> Grand Total (Rp)</t>
  </si>
  <si>
    <t>pinjaman EWA</t>
  </si>
  <si>
    <t>Payroll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</si>
  <si>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</si>
  <si>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</si>
  <si>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</si>
  <si>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</si>
  <si>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</si>
  <si>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</si>
  <si>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</si>
  <si>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</si>
  <si>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</si>
  <si>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</si>
  <si>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</si>
  <si>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Selisih SO</t>
  </si>
  <si>
    <t>Pinjaman</t>
  </si>
  <si>
    <t>Adm Bank</t>
  </si>
  <si>
    <t>BPJS TK</t>
  </si>
  <si>
    <t>Reza Rahadian</t>
  </si>
  <si>
    <t>NO Rekening</t>
  </si>
  <si>
    <t>Tunj Kehadrian (Rp)</t>
  </si>
  <si>
    <t>Tunjangan Jabatan</t>
  </si>
  <si>
    <t>Lembur wajib( Rp )</t>
  </si>
  <si>
    <t>Kebijakan HO</t>
  </si>
  <si>
    <t>Masa Kerja</t>
  </si>
  <si>
    <t>Ket</t>
  </si>
  <si>
    <t>Long shift</t>
  </si>
  <si>
    <t>Terlambat</t>
  </si>
  <si>
    <t>Tidak Hadir</t>
  </si>
  <si>
    <t>Pevita Pearce</t>
  </si>
  <si>
    <t>1 tahun</t>
  </si>
  <si>
    <t>Gaji  Training (Rp)</t>
  </si>
  <si>
    <t>Tunj. Kehadiran</t>
  </si>
  <si>
    <t>Target Koli</t>
  </si>
  <si>
    <t>Fee Aksesoris</t>
  </si>
  <si>
    <t>Adj gaji  terpotong BPJS tapi tidak terdaftar</t>
  </si>
  <si>
    <t>Pinjaman EWA</t>
  </si>
  <si>
    <t>payroll</t>
  </si>
  <si>
    <t>Lembur Wajib</t>
  </si>
  <si>
    <t>Tunj. Kehadiran      ( Rp )</t>
  </si>
  <si>
    <t>Insentif Lebaran</t>
  </si>
  <si>
    <t>Adj Kekurangan Gaji</t>
  </si>
  <si>
    <t>EWA</t>
  </si>
  <si>
    <t>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</si>
</sst>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mmm yyyy"/>
  </numFmts>
  <fonts count="8">
    <font>
      <sz val="11.0"/>
      <color theme="1"/>
      <name val="Calibri"/>
      <scheme val="minor"/>
    </font>
    <font>
      <sz val="11.0"/>
      <color theme="1"/>
      <name val="Candara"/>
    </font>
    <font/>
    <font>
      <b/>
      <sz val="11.0"/>
      <color theme="1"/>
      <name val="Candara"/>
    </font>
    <font>
      <color theme="1"/>
      <name val="Calibri"/>
      <scheme val="minor"/>
    </font>
    <font>
      <color theme="1"/>
      <name val="Arial"/>
    </font>
    <font>
      <sz val="12.0"/>
      <color theme="1"/>
      <name val="Candara"/>
    </font>
    <font>
      <b/>
      <sz val="12.0"/>
      <color theme="1"/>
      <name val="Candara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2" fontId="1" numFmtId="164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2" fillId="2" fontId="1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shrinkToFit="0" vertical="center" wrapText="1"/>
    </xf>
    <xf borderId="12" fillId="2" fontId="1" numFmtId="164" xfId="0" applyAlignment="1" applyBorder="1" applyFont="1" applyNumberFormat="1">
      <alignment horizontal="center" shrinkToFit="0" vertical="center" wrapText="1"/>
    </xf>
    <xf borderId="12" fillId="2" fontId="1" numFmtId="164" xfId="0" applyAlignment="1" applyBorder="1" applyFont="1" applyNumberFormat="1">
      <alignment shrinkToFit="0" vertical="center" wrapText="1"/>
    </xf>
    <xf borderId="13" fillId="0" fontId="2" numFmtId="0" xfId="0" applyBorder="1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14" fillId="0" fontId="5" numFmtId="0" xfId="0" applyAlignment="1" applyBorder="1" applyFont="1">
      <alignment horizontal="right" vertical="bottom"/>
    </xf>
    <xf borderId="14" fillId="0" fontId="5" numFmtId="0" xfId="0" applyAlignment="1" applyBorder="1" applyFont="1">
      <alignment horizontal="right" vertical="bottom"/>
    </xf>
    <xf borderId="14" fillId="0" fontId="5" numFmtId="0" xfId="0" applyAlignment="1" applyBorder="1" applyFont="1">
      <alignment vertical="bottom"/>
    </xf>
    <xf borderId="0" fillId="0" fontId="4" numFmtId="0" xfId="0" applyFont="1"/>
    <xf borderId="12" fillId="2" fontId="1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right" readingOrder="0" vertical="bottom"/>
    </xf>
    <xf borderId="1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2" fillId="2" fontId="6" numFmtId="164" xfId="0" applyAlignment="1" applyBorder="1" applyFont="1" applyNumberFormat="1">
      <alignment horizontal="center" shrinkToFit="0" vertical="center" wrapText="1"/>
    </xf>
    <xf borderId="3" fillId="2" fontId="6" numFmtId="164" xfId="0" applyAlignment="1" applyBorder="1" applyFont="1" applyNumberFormat="1">
      <alignment horizontal="center" shrinkToFit="0" vertical="center" wrapText="1"/>
    </xf>
    <xf borderId="2" fillId="2" fontId="7" numFmtId="164" xfId="0" applyAlignment="1" applyBorder="1" applyFont="1" applyNumberFormat="1">
      <alignment horizontal="center" shrinkToFit="0" vertical="center" wrapText="1"/>
    </xf>
    <xf borderId="6" fillId="2" fontId="6" numFmtId="164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164" xfId="0" applyAlignment="1" applyBorder="1" applyFont="1" applyNumberFormat="1">
      <alignment horizontal="center" shrinkToFit="0" vertical="center" wrapText="1"/>
    </xf>
    <xf borderId="12" fillId="2" fontId="6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7.29"/>
    <col customWidth="1" min="3" max="4" width="16.0"/>
    <col customWidth="1" min="5" max="5" width="7.43"/>
    <col customWidth="1" min="6" max="6" width="3.86"/>
    <col customWidth="1" min="7" max="7" width="5.43"/>
    <col customWidth="1" min="8" max="8" width="3.71"/>
    <col customWidth="1" min="9" max="9" width="4.71"/>
    <col customWidth="1" min="10" max="11" width="4.57"/>
    <col customWidth="1" min="12" max="12" width="15.57"/>
    <col customWidth="1" min="13" max="13" width="17.14"/>
    <col customWidth="1" min="14" max="14" width="8.0"/>
    <col customWidth="1" min="15" max="15" width="14.57"/>
    <col customWidth="1" min="16" max="16" width="8.0"/>
    <col customWidth="1" min="17" max="17" width="16.43"/>
    <col customWidth="1" min="18" max="18" width="8.0"/>
    <col customWidth="1" min="19" max="19" width="16.57"/>
    <col customWidth="1" min="20" max="20" width="14.14"/>
    <col customWidth="1" min="21" max="22" width="13.71"/>
    <col customWidth="1" min="23" max="23" width="5.14"/>
    <col customWidth="1" min="24" max="24" width="8.0"/>
    <col customWidth="1" min="25" max="25" width="7.14"/>
    <col customWidth="1" min="26" max="27" width="8.29"/>
    <col customWidth="1" min="28" max="28" width="10.43"/>
    <col customWidth="1" min="29" max="29" width="12.57"/>
    <col customWidth="1" min="30" max="30" width="14.57"/>
    <col customWidth="1" min="31" max="31" width="5.14"/>
    <col customWidth="1" min="32" max="32" width="7.14"/>
    <col customWidth="1" min="33" max="33" width="8.14"/>
    <col customWidth="1" min="34" max="34" width="5.71"/>
    <col customWidth="1" min="35" max="35" width="8.57"/>
    <col customWidth="1" min="36" max="36" width="8.0"/>
    <col customWidth="1" min="37" max="37" width="7.43"/>
    <col customWidth="1" min="38" max="39" width="9.43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3" t="s">
        <v>2</v>
      </c>
      <c r="D3" s="2" t="s">
        <v>3</v>
      </c>
      <c r="E3" s="4" t="s">
        <v>4</v>
      </c>
      <c r="F3" s="5"/>
      <c r="G3" s="5"/>
      <c r="H3" s="5"/>
      <c r="I3" s="5"/>
      <c r="J3" s="5"/>
      <c r="K3" s="6"/>
      <c r="L3" s="2" t="s">
        <v>5</v>
      </c>
      <c r="M3" s="7" t="s">
        <v>6</v>
      </c>
      <c r="N3" s="6"/>
      <c r="O3" s="7" t="s">
        <v>7</v>
      </c>
      <c r="P3" s="6"/>
      <c r="Q3" s="8" t="s">
        <v>8</v>
      </c>
      <c r="R3" s="9"/>
      <c r="S3" s="10" t="s">
        <v>9</v>
      </c>
      <c r="T3" s="10" t="s">
        <v>10</v>
      </c>
      <c r="U3" s="11" t="s">
        <v>11</v>
      </c>
      <c r="V3" s="8" t="s">
        <v>12</v>
      </c>
      <c r="W3" s="12"/>
      <c r="X3" s="9"/>
      <c r="Y3" s="10" t="s">
        <v>13</v>
      </c>
      <c r="Z3" s="10" t="s">
        <v>14</v>
      </c>
      <c r="AA3" s="10" t="s">
        <v>15</v>
      </c>
      <c r="AB3" s="11" t="s">
        <v>16</v>
      </c>
      <c r="AC3" s="11" t="s">
        <v>17</v>
      </c>
      <c r="AD3" s="7" t="s">
        <v>18</v>
      </c>
      <c r="AE3" s="5"/>
      <c r="AF3" s="5"/>
      <c r="AG3" s="5"/>
      <c r="AH3" s="5"/>
      <c r="AI3" s="5"/>
      <c r="AJ3" s="6"/>
      <c r="AK3" s="11" t="s">
        <v>19</v>
      </c>
      <c r="AL3" s="13" t="s">
        <v>20</v>
      </c>
      <c r="AM3" s="13" t="s">
        <v>21</v>
      </c>
    </row>
    <row r="4" ht="33.0" customHeight="1">
      <c r="A4" s="14"/>
      <c r="B4" s="15"/>
      <c r="C4" s="15"/>
      <c r="D4" s="15"/>
      <c r="E4" s="16" t="s">
        <v>22</v>
      </c>
      <c r="F4" s="16" t="s">
        <v>23</v>
      </c>
      <c r="G4" s="16" t="s">
        <v>24</v>
      </c>
      <c r="H4" s="16" t="s">
        <v>25</v>
      </c>
      <c r="I4" s="16" t="s">
        <v>26</v>
      </c>
      <c r="J4" s="16" t="s">
        <v>27</v>
      </c>
      <c r="K4" s="16" t="s">
        <v>28</v>
      </c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7" t="s">
        <v>29</v>
      </c>
      <c r="R4" s="17" t="s">
        <v>4</v>
      </c>
      <c r="S4" s="15"/>
      <c r="T4" s="15"/>
      <c r="U4" s="15"/>
      <c r="V4" s="17" t="s">
        <v>30</v>
      </c>
      <c r="W4" s="17" t="s">
        <v>31</v>
      </c>
      <c r="X4" s="17" t="s">
        <v>4</v>
      </c>
      <c r="Y4" s="15"/>
      <c r="Z4" s="15"/>
      <c r="AA4" s="15"/>
      <c r="AB4" s="15"/>
      <c r="AC4" s="15"/>
      <c r="AD4" s="17" t="s">
        <v>32</v>
      </c>
      <c r="AE4" s="17" t="s">
        <v>26</v>
      </c>
      <c r="AF4" s="17" t="s">
        <v>33</v>
      </c>
      <c r="AG4" s="18" t="s">
        <v>34</v>
      </c>
      <c r="AH4" s="18" t="s">
        <v>35</v>
      </c>
      <c r="AI4" s="17" t="s">
        <v>36</v>
      </c>
      <c r="AJ4" s="17" t="s">
        <v>4</v>
      </c>
      <c r="AK4" s="15"/>
      <c r="AL4" s="19"/>
      <c r="AM4" s="19"/>
    </row>
    <row r="5" ht="14.25" customHeight="1">
      <c r="A5" s="20">
        <v>1.0</v>
      </c>
      <c r="B5" s="20" t="s">
        <v>37</v>
      </c>
      <c r="C5" s="21">
        <v>46023.0</v>
      </c>
      <c r="D5" s="20">
        <v>1.2355647789E10</v>
      </c>
      <c r="E5" s="22">
        <v>31.0</v>
      </c>
      <c r="F5" s="23">
        <v>8.0</v>
      </c>
      <c r="G5" s="23">
        <v>2.0</v>
      </c>
      <c r="H5" s="23">
        <v>1.0</v>
      </c>
      <c r="I5" s="24"/>
      <c r="J5" s="23">
        <v>1.0</v>
      </c>
      <c r="K5" s="23">
        <f>E5-F5-G5-H5</f>
        <v>20</v>
      </c>
      <c r="L5" s="20">
        <v>3000000.0</v>
      </c>
      <c r="M5" s="20">
        <v>20000.0</v>
      </c>
      <c r="N5" s="25">
        <f>M5*K5</f>
        <v>400000</v>
      </c>
      <c r="O5" s="20">
        <v>15000.0</v>
      </c>
      <c r="P5" s="25">
        <f>O5*K5</f>
        <v>300000</v>
      </c>
      <c r="Q5" s="20">
        <v>15000.0</v>
      </c>
      <c r="R5" s="25">
        <f>Q5*K5</f>
        <v>300000</v>
      </c>
      <c r="S5" s="20">
        <v>400000.0</v>
      </c>
      <c r="U5" s="25">
        <f>sum(S5,R5,P5,N5,L5)</f>
        <v>4400000</v>
      </c>
      <c r="V5" s="20">
        <v>15000.0</v>
      </c>
      <c r="W5" s="20">
        <v>10.0</v>
      </c>
      <c r="X5" s="25">
        <f>V5*W5</f>
        <v>150000</v>
      </c>
      <c r="Y5" s="20">
        <v>200000.0</v>
      </c>
      <c r="Z5" s="20">
        <v>200000.0</v>
      </c>
      <c r="AA5" s="20">
        <v>200000.0</v>
      </c>
      <c r="AB5" s="25">
        <f>sum(U5,X5:AA5)</f>
        <v>5150000</v>
      </c>
      <c r="AD5" s="20">
        <v>30000.0</v>
      </c>
      <c r="AE5" s="20">
        <v>50000.0</v>
      </c>
      <c r="AF5" s="20">
        <v>100000.0</v>
      </c>
      <c r="AH5" s="20">
        <v>2500.0</v>
      </c>
      <c r="AI5" s="20">
        <v>217000.0</v>
      </c>
      <c r="AJ5" s="25">
        <f>sum(AD5:AI5)</f>
        <v>399500</v>
      </c>
      <c r="AK5" s="25">
        <f>AB5-AJ5</f>
        <v>4750500</v>
      </c>
      <c r="AL5" s="20">
        <v>700000.0</v>
      </c>
      <c r="AM5" s="25">
        <f>AK5-AL5</f>
        <v>4050500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3:A4"/>
    <mergeCell ref="B3:B4"/>
    <mergeCell ref="C3:C4"/>
    <mergeCell ref="D3:D4"/>
    <mergeCell ref="E3:K3"/>
    <mergeCell ref="L3:L4"/>
    <mergeCell ref="M3:N3"/>
    <mergeCell ref="Z3:Z4"/>
    <mergeCell ref="AA3:AA4"/>
    <mergeCell ref="AB3:AB4"/>
    <mergeCell ref="AC3:AC4"/>
    <mergeCell ref="AD3:AJ3"/>
    <mergeCell ref="AK3:AK4"/>
    <mergeCell ref="AL3:AL4"/>
    <mergeCell ref="AM3:AM4"/>
    <mergeCell ref="O3:P3"/>
    <mergeCell ref="Q3:R3"/>
    <mergeCell ref="S3:S4"/>
    <mergeCell ref="T3:T4"/>
    <mergeCell ref="U3:U4"/>
    <mergeCell ref="V3:X3"/>
    <mergeCell ref="Y3:Y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2.0"/>
    <col customWidth="1" min="3" max="3" width="12.86"/>
    <col customWidth="1" min="4" max="4" width="7.43"/>
    <col customWidth="1" min="5" max="5" width="3.86"/>
    <col customWidth="1" min="6" max="6" width="5.43"/>
    <col customWidth="1" min="7" max="7" width="3.71"/>
    <col customWidth="1" min="8" max="8" width="4.71"/>
    <col customWidth="1" min="9" max="9" width="4.57"/>
    <col customWidth="1" min="10" max="10" width="6.14"/>
    <col customWidth="1" min="11" max="11" width="4.57"/>
    <col customWidth="1" min="12" max="12" width="9.43"/>
    <col customWidth="1" min="13" max="13" width="17.14"/>
    <col customWidth="1" min="14" max="14" width="8.0"/>
    <col customWidth="1" min="15" max="15" width="14.57"/>
    <col customWidth="1" min="16" max="16" width="8.0"/>
    <col customWidth="1" min="17" max="17" width="14.71"/>
    <col customWidth="1" min="18" max="18" width="8.0"/>
    <col customWidth="1" min="19" max="19" width="8.14"/>
    <col customWidth="1" min="20" max="20" width="8.29"/>
    <col customWidth="1" min="21" max="21" width="12.29"/>
    <col customWidth="1" min="22" max="22" width="18.43"/>
    <col customWidth="1" min="23" max="23" width="5.14"/>
    <col customWidth="1" min="24" max="24" width="8.0"/>
    <col customWidth="1" min="25" max="25" width="7.14"/>
    <col customWidth="1" min="26" max="26" width="8.29"/>
    <col customWidth="1" min="27" max="27" width="8.57"/>
    <col customWidth="1" min="28" max="28" width="14.0"/>
    <col customWidth="1" min="29" max="29" width="14.57"/>
    <col customWidth="1" min="30" max="30" width="8.29"/>
    <col customWidth="1" min="31" max="31" width="6.29"/>
    <col customWidth="1" min="32" max="32" width="8.14"/>
    <col customWidth="1" min="33" max="33" width="5.71"/>
    <col customWidth="1" min="34" max="34" width="8.57"/>
    <col customWidth="1" min="35" max="35" width="8.0"/>
    <col customWidth="1" min="36" max="36" width="9.0"/>
    <col customWidth="1" min="37" max="37" width="5.86"/>
    <col customWidth="1" min="38" max="38" width="4.29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2" t="s">
        <v>38</v>
      </c>
      <c r="D3" s="4" t="s">
        <v>4</v>
      </c>
      <c r="E3" s="5"/>
      <c r="F3" s="5"/>
      <c r="G3" s="5"/>
      <c r="H3" s="5"/>
      <c r="I3" s="5"/>
      <c r="J3" s="5"/>
      <c r="K3" s="6"/>
      <c r="L3" s="2" t="s">
        <v>5</v>
      </c>
      <c r="M3" s="7" t="s">
        <v>6</v>
      </c>
      <c r="N3" s="6"/>
      <c r="O3" s="7" t="s">
        <v>7</v>
      </c>
      <c r="P3" s="6"/>
      <c r="Q3" s="7" t="s">
        <v>39</v>
      </c>
      <c r="R3" s="6"/>
      <c r="S3" s="10" t="s">
        <v>40</v>
      </c>
      <c r="T3" s="10" t="s">
        <v>9</v>
      </c>
      <c r="U3" s="11" t="s">
        <v>11</v>
      </c>
      <c r="V3" s="8" t="s">
        <v>41</v>
      </c>
      <c r="W3" s="12"/>
      <c r="X3" s="9"/>
      <c r="Y3" s="10" t="s">
        <v>13</v>
      </c>
      <c r="Z3" s="10" t="s">
        <v>14</v>
      </c>
      <c r="AA3" s="11" t="s">
        <v>16</v>
      </c>
      <c r="AB3" s="11" t="s">
        <v>42</v>
      </c>
      <c r="AC3" s="7" t="s">
        <v>18</v>
      </c>
      <c r="AD3" s="5"/>
      <c r="AE3" s="5"/>
      <c r="AF3" s="5"/>
      <c r="AG3" s="5"/>
      <c r="AH3" s="5"/>
      <c r="AI3" s="6"/>
      <c r="AJ3" s="11" t="s">
        <v>19</v>
      </c>
      <c r="AK3" s="2" t="s">
        <v>43</v>
      </c>
      <c r="AL3" s="13" t="s">
        <v>44</v>
      </c>
    </row>
    <row r="4" ht="33.0" customHeight="1">
      <c r="A4" s="14"/>
      <c r="B4" s="15"/>
      <c r="C4" s="15"/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26" t="s">
        <v>45</v>
      </c>
      <c r="K4" s="16" t="s">
        <v>28</v>
      </c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7" t="s">
        <v>29</v>
      </c>
      <c r="R4" s="17" t="s">
        <v>4</v>
      </c>
      <c r="S4" s="15"/>
      <c r="T4" s="15"/>
      <c r="U4" s="15"/>
      <c r="V4" s="17" t="s">
        <v>30</v>
      </c>
      <c r="W4" s="17" t="s">
        <v>31</v>
      </c>
      <c r="X4" s="17" t="s">
        <v>4</v>
      </c>
      <c r="Y4" s="15"/>
      <c r="Z4" s="15"/>
      <c r="AA4" s="15"/>
      <c r="AB4" s="15"/>
      <c r="AC4" s="17" t="s">
        <v>32</v>
      </c>
      <c r="AD4" s="17" t="s">
        <v>46</v>
      </c>
      <c r="AE4" s="17" t="s">
        <v>47</v>
      </c>
      <c r="AF4" s="17" t="s">
        <v>34</v>
      </c>
      <c r="AG4" s="18" t="s">
        <v>35</v>
      </c>
      <c r="AH4" s="17" t="s">
        <v>36</v>
      </c>
      <c r="AI4" s="17" t="s">
        <v>4</v>
      </c>
      <c r="AJ4" s="15"/>
      <c r="AK4" s="15"/>
      <c r="AL4" s="19"/>
    </row>
    <row r="5" ht="14.25" customHeight="1">
      <c r="A5" s="20">
        <v>1.0</v>
      </c>
      <c r="B5" s="20" t="s">
        <v>48</v>
      </c>
      <c r="C5" s="20">
        <v>5.4672155416E10</v>
      </c>
      <c r="D5" s="22">
        <v>31.0</v>
      </c>
      <c r="E5" s="27">
        <v>8.0</v>
      </c>
      <c r="F5" s="27">
        <v>1.0</v>
      </c>
      <c r="G5" s="27">
        <v>1.0</v>
      </c>
      <c r="H5" s="24"/>
      <c r="I5" s="23"/>
      <c r="J5" s="27">
        <v>2.0</v>
      </c>
      <c r="K5" s="25">
        <f>D5-E5-F5-G5</f>
        <v>21</v>
      </c>
      <c r="L5" s="20">
        <v>3000000.0</v>
      </c>
      <c r="M5" s="20">
        <v>20000.0</v>
      </c>
      <c r="N5" s="20">
        <f>M5*K5</f>
        <v>420000</v>
      </c>
      <c r="O5" s="20">
        <v>15000.0</v>
      </c>
      <c r="P5" s="25">
        <f>O5*K5</f>
        <v>315000</v>
      </c>
      <c r="Q5" s="20">
        <v>10000.0</v>
      </c>
      <c r="R5" s="25">
        <f>Q5*K5</f>
        <v>210000</v>
      </c>
      <c r="T5" s="20">
        <v>200000.0</v>
      </c>
      <c r="U5" s="25">
        <f>sum(T5,R5,P5,N5,L5)</f>
        <v>4145000</v>
      </c>
      <c r="V5" s="20">
        <v>20000.0</v>
      </c>
      <c r="W5" s="20">
        <v>15.0</v>
      </c>
      <c r="X5" s="25">
        <f>W5*V5</f>
        <v>300000</v>
      </c>
      <c r="Y5" s="20">
        <v>400000.0</v>
      </c>
      <c r="Z5" s="20">
        <v>200000.0</v>
      </c>
      <c r="AA5" s="25">
        <f>SUM(U5,X5:Z5)</f>
        <v>5045000</v>
      </c>
      <c r="AC5" s="20">
        <v>20000.0</v>
      </c>
      <c r="AD5" s="20">
        <v>20000.0</v>
      </c>
      <c r="AE5" s="20">
        <v>50000.0</v>
      </c>
      <c r="AF5" s="20">
        <v>200000.0</v>
      </c>
      <c r="AG5" s="20">
        <v>2500.0</v>
      </c>
      <c r="AH5" s="20">
        <v>150000.0</v>
      </c>
      <c r="AI5" s="25">
        <f>sum(AC5:AH5)</f>
        <v>442500</v>
      </c>
      <c r="AJ5" s="25">
        <f>AA5-AI5</f>
        <v>4602500</v>
      </c>
      <c r="AK5" s="20" t="s">
        <v>49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3:A4"/>
    <mergeCell ref="B3:B4"/>
    <mergeCell ref="C3:C4"/>
    <mergeCell ref="D3:K3"/>
    <mergeCell ref="L3:L4"/>
    <mergeCell ref="M3:N3"/>
    <mergeCell ref="O3:P3"/>
    <mergeCell ref="AA3:AA4"/>
    <mergeCell ref="AB3:AB4"/>
    <mergeCell ref="AC3:AI3"/>
    <mergeCell ref="AJ3:AJ4"/>
    <mergeCell ref="AK3:AK4"/>
    <mergeCell ref="AL3:AL4"/>
    <mergeCell ref="Q3:R3"/>
    <mergeCell ref="S3:S4"/>
    <mergeCell ref="T3:T4"/>
    <mergeCell ref="U3:U4"/>
    <mergeCell ref="V3:X3"/>
    <mergeCell ref="Y3:Y4"/>
    <mergeCell ref="Z3:Z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2" t="s">
        <v>3</v>
      </c>
      <c r="D3" s="4" t="s">
        <v>4</v>
      </c>
      <c r="E3" s="5"/>
      <c r="F3" s="5"/>
      <c r="G3" s="5"/>
      <c r="H3" s="5"/>
      <c r="I3" s="5"/>
      <c r="J3" s="6"/>
      <c r="K3" s="2" t="s">
        <v>5</v>
      </c>
      <c r="L3" s="2" t="s">
        <v>50</v>
      </c>
      <c r="M3" s="7" t="s">
        <v>6</v>
      </c>
      <c r="N3" s="6"/>
      <c r="O3" s="7" t="s">
        <v>7</v>
      </c>
      <c r="P3" s="6"/>
      <c r="Q3" s="10" t="s">
        <v>51</v>
      </c>
      <c r="R3" s="10" t="s">
        <v>9</v>
      </c>
      <c r="S3" s="10" t="s">
        <v>13</v>
      </c>
      <c r="T3" s="11" t="s">
        <v>11</v>
      </c>
      <c r="U3" s="7" t="s">
        <v>12</v>
      </c>
      <c r="V3" s="5"/>
      <c r="W3" s="6"/>
      <c r="X3" s="10" t="s">
        <v>52</v>
      </c>
      <c r="Y3" s="10" t="s">
        <v>53</v>
      </c>
      <c r="Z3" s="11" t="s">
        <v>16</v>
      </c>
      <c r="AA3" s="11" t="s">
        <v>54</v>
      </c>
      <c r="AB3" s="7" t="s">
        <v>18</v>
      </c>
      <c r="AC3" s="5"/>
      <c r="AD3" s="5"/>
      <c r="AE3" s="5"/>
      <c r="AF3" s="5"/>
      <c r="AG3" s="5"/>
      <c r="AH3" s="6"/>
      <c r="AI3" s="11" t="s">
        <v>19</v>
      </c>
      <c r="AJ3" s="2" t="s">
        <v>55</v>
      </c>
      <c r="AK3" s="13" t="s">
        <v>56</v>
      </c>
    </row>
    <row r="4" ht="33.0" customHeight="1">
      <c r="A4" s="14"/>
      <c r="B4" s="15"/>
      <c r="C4" s="15"/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16" t="s">
        <v>28</v>
      </c>
      <c r="K4" s="15"/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5"/>
      <c r="R4" s="15"/>
      <c r="S4" s="15"/>
      <c r="T4" s="15"/>
      <c r="U4" s="17" t="s">
        <v>30</v>
      </c>
      <c r="V4" s="17" t="s">
        <v>31</v>
      </c>
      <c r="W4" s="17" t="s">
        <v>4</v>
      </c>
      <c r="X4" s="15"/>
      <c r="Y4" s="15"/>
      <c r="Z4" s="15"/>
      <c r="AA4" s="15"/>
      <c r="AB4" s="17" t="s">
        <v>32</v>
      </c>
      <c r="AC4" s="17" t="s">
        <v>46</v>
      </c>
      <c r="AD4" s="17" t="s">
        <v>47</v>
      </c>
      <c r="AE4" s="18" t="s">
        <v>34</v>
      </c>
      <c r="AF4" s="18" t="s">
        <v>35</v>
      </c>
      <c r="AG4" s="17" t="s">
        <v>36</v>
      </c>
      <c r="AH4" s="17" t="s">
        <v>4</v>
      </c>
      <c r="AI4" s="15"/>
      <c r="AJ4" s="15"/>
      <c r="AK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3:A4"/>
    <mergeCell ref="B3:B4"/>
    <mergeCell ref="C3:C4"/>
    <mergeCell ref="D3:J3"/>
    <mergeCell ref="K3:K4"/>
    <mergeCell ref="L3:L4"/>
    <mergeCell ref="M3:N3"/>
    <mergeCell ref="Y3:Y4"/>
    <mergeCell ref="Z3:Z4"/>
    <mergeCell ref="AA3:AA4"/>
    <mergeCell ref="AB3:AH3"/>
    <mergeCell ref="AI3:AI4"/>
    <mergeCell ref="AJ3:AJ4"/>
    <mergeCell ref="AK3:AK4"/>
    <mergeCell ref="O3:P3"/>
    <mergeCell ref="Q3:Q4"/>
    <mergeCell ref="R3:R4"/>
    <mergeCell ref="S3:S4"/>
    <mergeCell ref="T3:T4"/>
    <mergeCell ref="U3:W3"/>
    <mergeCell ref="X3:X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 ht="14.25" customHeight="1"/>
    <row r="2" ht="14.25" customHeight="1"/>
    <row r="3" ht="33.0" customHeight="1">
      <c r="A3" s="28" t="s">
        <v>0</v>
      </c>
      <c r="B3" s="29" t="s">
        <v>1</v>
      </c>
      <c r="C3" s="29" t="s">
        <v>3</v>
      </c>
      <c r="D3" s="30" t="s">
        <v>4</v>
      </c>
      <c r="E3" s="5"/>
      <c r="F3" s="5"/>
      <c r="G3" s="5"/>
      <c r="H3" s="5"/>
      <c r="I3" s="5"/>
      <c r="J3" s="6"/>
      <c r="K3" s="29" t="s">
        <v>5</v>
      </c>
      <c r="L3" s="31" t="s">
        <v>10</v>
      </c>
      <c r="M3" s="32" t="s">
        <v>6</v>
      </c>
      <c r="N3" s="6"/>
      <c r="O3" s="32" t="s">
        <v>7</v>
      </c>
      <c r="P3" s="6"/>
      <c r="Q3" s="32" t="s">
        <v>57</v>
      </c>
      <c r="R3" s="6"/>
      <c r="S3" s="31" t="s">
        <v>58</v>
      </c>
      <c r="T3" s="31" t="s">
        <v>9</v>
      </c>
      <c r="U3" s="33" t="s">
        <v>11</v>
      </c>
      <c r="V3" s="34" t="s">
        <v>12</v>
      </c>
      <c r="W3" s="12"/>
      <c r="X3" s="9"/>
      <c r="Y3" s="31" t="s">
        <v>13</v>
      </c>
      <c r="Z3" s="31" t="s">
        <v>59</v>
      </c>
      <c r="AA3" s="31" t="s">
        <v>60</v>
      </c>
      <c r="AB3" s="33" t="s">
        <v>16</v>
      </c>
      <c r="AC3" s="33" t="s">
        <v>17</v>
      </c>
      <c r="AD3" s="32" t="s">
        <v>18</v>
      </c>
      <c r="AE3" s="5"/>
      <c r="AF3" s="5"/>
      <c r="AG3" s="5"/>
      <c r="AH3" s="5"/>
      <c r="AI3" s="5"/>
      <c r="AJ3" s="6"/>
      <c r="AK3" s="33" t="s">
        <v>19</v>
      </c>
      <c r="AL3" s="29" t="s">
        <v>61</v>
      </c>
      <c r="AM3" s="35" t="s">
        <v>62</v>
      </c>
    </row>
    <row r="4" ht="33.0" customHeight="1">
      <c r="A4" s="14"/>
      <c r="B4" s="15"/>
      <c r="C4" s="15"/>
      <c r="D4" s="36" t="s">
        <v>22</v>
      </c>
      <c r="E4" s="36" t="s">
        <v>23</v>
      </c>
      <c r="F4" s="36" t="s">
        <v>24</v>
      </c>
      <c r="G4" s="36" t="s">
        <v>25</v>
      </c>
      <c r="H4" s="36" t="s">
        <v>26</v>
      </c>
      <c r="I4" s="36" t="s">
        <v>27</v>
      </c>
      <c r="J4" s="36" t="s">
        <v>28</v>
      </c>
      <c r="K4" s="15"/>
      <c r="L4" s="15"/>
      <c r="M4" s="37" t="s">
        <v>29</v>
      </c>
      <c r="N4" s="37" t="s">
        <v>4</v>
      </c>
      <c r="O4" s="37" t="s">
        <v>29</v>
      </c>
      <c r="P4" s="37" t="s">
        <v>4</v>
      </c>
      <c r="Q4" s="37" t="s">
        <v>29</v>
      </c>
      <c r="R4" s="37" t="s">
        <v>4</v>
      </c>
      <c r="S4" s="15"/>
      <c r="T4" s="15"/>
      <c r="U4" s="15"/>
      <c r="V4" s="37" t="s">
        <v>30</v>
      </c>
      <c r="W4" s="37" t="s">
        <v>31</v>
      </c>
      <c r="X4" s="37" t="s">
        <v>4</v>
      </c>
      <c r="Y4" s="15"/>
      <c r="Z4" s="15"/>
      <c r="AA4" s="15"/>
      <c r="AB4" s="15"/>
      <c r="AC4" s="15"/>
      <c r="AD4" s="37" t="s">
        <v>32</v>
      </c>
      <c r="AE4" s="37" t="s">
        <v>46</v>
      </c>
      <c r="AF4" s="37" t="s">
        <v>33</v>
      </c>
      <c r="AG4" s="38" t="s">
        <v>34</v>
      </c>
      <c r="AH4" s="38" t="s">
        <v>35</v>
      </c>
      <c r="AI4" s="37" t="s">
        <v>36</v>
      </c>
      <c r="AJ4" s="37" t="s">
        <v>4</v>
      </c>
      <c r="AK4" s="15"/>
      <c r="AL4" s="15"/>
      <c r="AM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3:A4"/>
    <mergeCell ref="B3:B4"/>
    <mergeCell ref="C3:C4"/>
    <mergeCell ref="D3:J3"/>
    <mergeCell ref="K3:K4"/>
    <mergeCell ref="L3:L4"/>
    <mergeCell ref="M3:N3"/>
    <mergeCell ref="Z3:Z4"/>
    <mergeCell ref="AA3:AA4"/>
    <mergeCell ref="AB3:AB4"/>
    <mergeCell ref="AC3:AC4"/>
    <mergeCell ref="AD3:AJ3"/>
    <mergeCell ref="AK3:AK4"/>
    <mergeCell ref="AL3:AL4"/>
    <mergeCell ref="AM3:AM4"/>
    <mergeCell ref="O3:P3"/>
    <mergeCell ref="Q3:R3"/>
    <mergeCell ref="S3:S4"/>
    <mergeCell ref="T3:T4"/>
    <mergeCell ref="U3:U4"/>
    <mergeCell ref="V3:X3"/>
    <mergeCell ref="Y3:Y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 ht="14.25" customHeight="1"/>
    <row r="2" ht="14.25" customHeight="1"/>
    <row r="3" ht="33.0" customHeight="1">
      <c r="A3" s="1" t="s">
        <v>0</v>
      </c>
      <c r="B3" s="2" t="s">
        <v>1</v>
      </c>
      <c r="C3" s="2" t="s">
        <v>3</v>
      </c>
      <c r="D3" s="4" t="s">
        <v>4</v>
      </c>
      <c r="E3" s="5"/>
      <c r="F3" s="5"/>
      <c r="G3" s="5"/>
      <c r="H3" s="5"/>
      <c r="I3" s="5"/>
      <c r="J3" s="6"/>
      <c r="K3" s="2" t="s">
        <v>5</v>
      </c>
      <c r="L3" s="10" t="s">
        <v>10</v>
      </c>
      <c r="M3" s="7" t="s">
        <v>6</v>
      </c>
      <c r="N3" s="6"/>
      <c r="O3" s="7" t="s">
        <v>7</v>
      </c>
      <c r="P3" s="6"/>
      <c r="Q3" s="7" t="s">
        <v>57</v>
      </c>
      <c r="R3" s="6"/>
      <c r="S3" s="10" t="s">
        <v>58</v>
      </c>
      <c r="T3" s="10" t="s">
        <v>9</v>
      </c>
      <c r="U3" s="11" t="s">
        <v>11</v>
      </c>
      <c r="V3" s="8" t="s">
        <v>12</v>
      </c>
      <c r="W3" s="12"/>
      <c r="X3" s="9"/>
      <c r="Y3" s="10" t="s">
        <v>13</v>
      </c>
      <c r="Z3" s="10" t="s">
        <v>59</v>
      </c>
      <c r="AA3" s="10" t="s">
        <v>60</v>
      </c>
      <c r="AB3" s="11" t="s">
        <v>16</v>
      </c>
      <c r="AC3" s="11" t="s">
        <v>17</v>
      </c>
      <c r="AD3" s="7" t="s">
        <v>18</v>
      </c>
      <c r="AE3" s="5"/>
      <c r="AF3" s="5"/>
      <c r="AG3" s="5"/>
      <c r="AH3" s="5"/>
      <c r="AI3" s="5"/>
      <c r="AJ3" s="6"/>
      <c r="AK3" s="11" t="s">
        <v>19</v>
      </c>
      <c r="AL3" s="2" t="s">
        <v>43</v>
      </c>
      <c r="AM3" s="13" t="s">
        <v>44</v>
      </c>
    </row>
    <row r="4" ht="33.0" customHeight="1">
      <c r="A4" s="14"/>
      <c r="B4" s="15"/>
      <c r="C4" s="15"/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16" t="s">
        <v>28</v>
      </c>
      <c r="K4" s="15"/>
      <c r="L4" s="15"/>
      <c r="M4" s="17" t="s">
        <v>29</v>
      </c>
      <c r="N4" s="17" t="s">
        <v>4</v>
      </c>
      <c r="O4" s="17" t="s">
        <v>29</v>
      </c>
      <c r="P4" s="17" t="s">
        <v>4</v>
      </c>
      <c r="Q4" s="17" t="s">
        <v>29</v>
      </c>
      <c r="R4" s="17" t="s">
        <v>4</v>
      </c>
      <c r="S4" s="15"/>
      <c r="T4" s="15"/>
      <c r="U4" s="15"/>
      <c r="V4" s="17" t="s">
        <v>30</v>
      </c>
      <c r="W4" s="17" t="s">
        <v>31</v>
      </c>
      <c r="X4" s="17" t="s">
        <v>4</v>
      </c>
      <c r="Y4" s="15"/>
      <c r="Z4" s="15"/>
      <c r="AA4" s="15"/>
      <c r="AB4" s="15"/>
      <c r="AC4" s="15"/>
      <c r="AD4" s="17" t="s">
        <v>32</v>
      </c>
      <c r="AE4" s="17" t="s">
        <v>46</v>
      </c>
      <c r="AF4" s="17" t="s">
        <v>33</v>
      </c>
      <c r="AG4" s="18" t="s">
        <v>34</v>
      </c>
      <c r="AH4" s="18" t="s">
        <v>35</v>
      </c>
      <c r="AI4" s="17" t="s">
        <v>36</v>
      </c>
      <c r="AJ4" s="17" t="s">
        <v>4</v>
      </c>
      <c r="AK4" s="15"/>
      <c r="AL4" s="15"/>
      <c r="AM4" s="1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3:A4"/>
    <mergeCell ref="B3:B4"/>
    <mergeCell ref="C3:C4"/>
    <mergeCell ref="D3:J3"/>
    <mergeCell ref="K3:K4"/>
    <mergeCell ref="L3:L4"/>
    <mergeCell ref="M3:N3"/>
    <mergeCell ref="Z3:Z4"/>
    <mergeCell ref="AA3:AA4"/>
    <mergeCell ref="AB3:AB4"/>
    <mergeCell ref="AC3:AC4"/>
    <mergeCell ref="AD3:AJ3"/>
    <mergeCell ref="AK3:AK4"/>
    <mergeCell ref="AL3:AL4"/>
    <mergeCell ref="AM3:AM4"/>
    <mergeCell ref="O3:P3"/>
    <mergeCell ref="Q3:R3"/>
    <mergeCell ref="S3:S4"/>
    <mergeCell ref="T3:T4"/>
    <mergeCell ref="U3:U4"/>
    <mergeCell ref="V3:X3"/>
    <mergeCell ref="Y3:Y4"/>
  </mergeCells>
  <printOptions/>
  <pageMargins bottom="0.75" footer="0.0" header="0.0" left="0.7" right="0.7" top="0.75"/>
  <pageSetup orientation="landscape"/>
  <drawing r:id="rId1"/>
</worksheet>
</file>