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itsrtcorp/Downloads/"/>
    </mc:Choice>
  </mc:AlternateContent>
  <xr:revisionPtr revIDLastSave="0" documentId="13_ncr:1_{E02C159B-AEA3-0441-990F-B76D32A2F1E2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W5" i="1"/>
  <c r="Q5" i="1"/>
  <c r="O5" i="1"/>
  <c r="T5" i="1" s="1"/>
  <c r="AA5" i="1" l="1"/>
  <c r="AJ5" i="1" s="1"/>
</calcChain>
</file>

<file path=xl/sharedStrings.xml><?xml version="1.0" encoding="utf-8"?>
<sst xmlns="http://schemas.openxmlformats.org/spreadsheetml/2006/main" count="45" uniqueCount="40">
  <si>
    <t>No</t>
  </si>
  <si>
    <t>Nama Karyawan</t>
  </si>
  <si>
    <t>periode</t>
  </si>
  <si>
    <t>No Rekening</t>
  </si>
  <si>
    <t>Jumlah</t>
  </si>
  <si>
    <t>Gaji Pokok (Rp)</t>
  </si>
  <si>
    <t>Tunj. Jabatan                  ( Rp )</t>
  </si>
  <si>
    <t>Uang Makan (Rp)</t>
  </si>
  <si>
    <t>Transport (Rp)</t>
  </si>
  <si>
    <t>Tunj. Kehadiran      ( Rp )</t>
  </si>
  <si>
    <t>Tunj. Kesehatan      ( Rp )</t>
  </si>
  <si>
    <t>Total Gaji            ( Rp )</t>
  </si>
  <si>
    <t>Lembur ( Rp )</t>
  </si>
  <si>
    <t>Bonus</t>
  </si>
  <si>
    <t>Insentif Lebaran</t>
  </si>
  <si>
    <t>Adj Kekurangan Gaji</t>
  </si>
  <si>
    <t>Total Gaji &amp; Bonus           (Rp)</t>
  </si>
  <si>
    <t>Kebijakan  HO</t>
  </si>
  <si>
    <t>Potongan (Rp)</t>
  </si>
  <si>
    <t xml:space="preserve"> Grand Total (Rp)</t>
  </si>
  <si>
    <t>Masa Kerja</t>
  </si>
  <si>
    <t>Ket</t>
  </si>
  <si>
    <t>Hari</t>
  </si>
  <si>
    <t>Off</t>
  </si>
  <si>
    <t>Sakit</t>
  </si>
  <si>
    <t>Ijin</t>
  </si>
  <si>
    <t>Alfa</t>
  </si>
  <si>
    <t>Cuti</t>
  </si>
  <si>
    <t>Ada</t>
  </si>
  <si>
    <t>/ Hari</t>
  </si>
  <si>
    <t>/ Jam</t>
  </si>
  <si>
    <t>Jam</t>
  </si>
  <si>
    <t>Absen 1X</t>
  </si>
  <si>
    <t>Terlambat</t>
  </si>
  <si>
    <t>Selisih SO</t>
  </si>
  <si>
    <t>Pinjaman</t>
  </si>
  <si>
    <t>Adm Bank</t>
  </si>
  <si>
    <t>BPJS TK</t>
  </si>
  <si>
    <t>Gilang Ramadhan</t>
  </si>
  <si>
    <t>2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</si>
</sst>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_-;_-@"/>
    <numFmt numFmtId="165" formatCode="mmmm\ yyyy"/>
  </numFmts>
  <fonts count="5" x14ac:knownFonts="1">
    <font>
      <sz val="10"/>
      <color rgb="FF000000"/>
      <name val="Arial"/>
      <scheme val="minor"/>
    </font>
    <font>
      <sz val="11"/>
      <color theme="1"/>
      <name val="Candara"/>
      <family val="2"/>
    </font>
    <font>
      <sz val="10"/>
      <name val="Arial"/>
      <family val="2"/>
    </font>
    <font>
      <b/>
      <sz val="11"/>
      <color theme="1"/>
      <name val="Candara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164" fontId="1" fillId="2" borderId="12" xfId="0" applyNumberFormat="1" applyFont="1" applyFill="1" applyBorder="1" applyAlignment="1">
      <alignment horizontal="center" wrapText="1"/>
    </xf>
    <xf numFmtId="164" fontId="1" fillId="2" borderId="12" xfId="0" applyNumberFormat="1" applyFont="1" applyFill="1" applyBorder="1" applyAlignment="1">
      <alignment wrapText="1"/>
    </xf>
    <xf numFmtId="0" fontId="4" fillId="0" borderId="0" xfId="0" applyFont="1" applyAlignment="1">
      <alignment horizontal="right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0" fontId="1" fillId="2" borderId="1" xfId="0" applyFont="1" applyFill="1" applyBorder="1" applyAlignment="1">
      <alignment horizontal="center" wrapText="1"/>
    </xf>
    <xf numFmtId="0" fontId="2" fillId="0" borderId="10" xfId="0" applyFont="1" applyBorder="1"/>
    <xf numFmtId="0" fontId="1" fillId="2" borderId="2" xfId="0" applyFont="1" applyFill="1" applyBorder="1" applyAlignment="1">
      <alignment horizontal="center" wrapText="1"/>
    </xf>
    <xf numFmtId="0" fontId="2" fillId="0" borderId="11" xfId="0" applyFont="1" applyBorder="1"/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164" fontId="1" fillId="2" borderId="2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wrapText="1"/>
    </xf>
    <xf numFmtId="164" fontId="3" fillId="2" borderId="2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2" fillId="0" borderId="13" xfId="0" applyFont="1" applyBorder="1"/>
    <xf numFmtId="164" fontId="1" fillId="2" borderId="6" xfId="0" applyNumberFormat="1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4" fillId="0" borderId="0" xfId="0" quotePrefix="1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AM5"/>
  <sheetViews>
    <sheetView tabSelected="1" topLeftCell="J2" workbookViewId="0">
      <selection activeCell="F10" sqref="F10"/>
    </sheetView>
  </sheetViews>
  <sheetFormatPr baseColWidth="10" defaultColWidth="12.6640625" defaultRowHeight="15.75" customHeight="1" x14ac:dyDescent="0.15"/>
  <cols>
    <col min="2" max="2" width="19.5" customWidth="1"/>
    <col min="4" max="4" width="18.6640625" customWidth="1"/>
  </cols>
  <sheetData>
    <row r="3" spans="1:39" x14ac:dyDescent="0.2">
      <c r="A3" s="8" t="s">
        <v>0</v>
      </c>
      <c r="B3" s="10" t="s">
        <v>1</v>
      </c>
      <c r="C3" s="10" t="s">
        <v>2</v>
      </c>
      <c r="D3" s="10" t="s">
        <v>3</v>
      </c>
      <c r="E3" s="12" t="s">
        <v>4</v>
      </c>
      <c r="F3" s="13"/>
      <c r="G3" s="13"/>
      <c r="H3" s="13"/>
      <c r="I3" s="13"/>
      <c r="J3" s="13"/>
      <c r="K3" s="14"/>
      <c r="L3" s="10" t="s">
        <v>5</v>
      </c>
      <c r="M3" s="15" t="s">
        <v>6</v>
      </c>
      <c r="N3" s="16" t="s">
        <v>7</v>
      </c>
      <c r="O3" s="14"/>
      <c r="P3" s="16" t="s">
        <v>8</v>
      </c>
      <c r="Q3" s="14"/>
      <c r="R3" s="15" t="s">
        <v>9</v>
      </c>
      <c r="S3" s="15" t="s">
        <v>10</v>
      </c>
      <c r="T3" s="17" t="s">
        <v>11</v>
      </c>
      <c r="U3" s="20" t="s">
        <v>12</v>
      </c>
      <c r="V3" s="21"/>
      <c r="W3" s="22"/>
      <c r="X3" s="15" t="s">
        <v>13</v>
      </c>
      <c r="Y3" s="15" t="s">
        <v>14</v>
      </c>
      <c r="Z3" s="15" t="s">
        <v>15</v>
      </c>
      <c r="AA3" s="17" t="s">
        <v>16</v>
      </c>
      <c r="AB3" s="17" t="s">
        <v>17</v>
      </c>
      <c r="AC3" s="16" t="s">
        <v>18</v>
      </c>
      <c r="AD3" s="13"/>
      <c r="AE3" s="13"/>
      <c r="AF3" s="13"/>
      <c r="AG3" s="13"/>
      <c r="AH3" s="13"/>
      <c r="AI3" s="14"/>
      <c r="AJ3" s="17" t="s">
        <v>19</v>
      </c>
      <c r="AK3" s="10" t="s">
        <v>20</v>
      </c>
      <c r="AL3" s="18" t="s">
        <v>21</v>
      </c>
      <c r="AM3" s="1"/>
    </row>
    <row r="4" spans="1:39" x14ac:dyDescent="0.2">
      <c r="A4" s="9"/>
      <c r="B4" s="11"/>
      <c r="C4" s="11"/>
      <c r="D4" s="11"/>
      <c r="E4" s="2" t="s">
        <v>22</v>
      </c>
      <c r="F4" s="2" t="s">
        <v>23</v>
      </c>
      <c r="G4" s="2" t="s">
        <v>24</v>
      </c>
      <c r="H4" s="2" t="s">
        <v>25</v>
      </c>
      <c r="I4" s="2" t="s">
        <v>26</v>
      </c>
      <c r="J4" s="2" t="s">
        <v>27</v>
      </c>
      <c r="K4" s="2" t="s">
        <v>28</v>
      </c>
      <c r="L4" s="11"/>
      <c r="M4" s="11"/>
      <c r="N4" s="3" t="s">
        <v>29</v>
      </c>
      <c r="O4" s="3" t="s">
        <v>4</v>
      </c>
      <c r="P4" s="3" t="s">
        <v>29</v>
      </c>
      <c r="Q4" s="3" t="s">
        <v>4</v>
      </c>
      <c r="R4" s="11"/>
      <c r="S4" s="11"/>
      <c r="T4" s="11"/>
      <c r="U4" s="3" t="s">
        <v>30</v>
      </c>
      <c r="V4" s="3" t="s">
        <v>31</v>
      </c>
      <c r="W4" s="3" t="s">
        <v>4</v>
      </c>
      <c r="X4" s="11"/>
      <c r="Y4" s="11"/>
      <c r="Z4" s="11"/>
      <c r="AA4" s="11"/>
      <c r="AB4" s="11"/>
      <c r="AC4" s="3" t="s">
        <v>32</v>
      </c>
      <c r="AD4" s="3" t="s">
        <v>33</v>
      </c>
      <c r="AE4" s="3" t="s">
        <v>34</v>
      </c>
      <c r="AF4" s="4" t="s">
        <v>35</v>
      </c>
      <c r="AG4" s="4" t="s">
        <v>36</v>
      </c>
      <c r="AH4" s="3" t="s">
        <v>37</v>
      </c>
      <c r="AI4" s="3" t="s">
        <v>4</v>
      </c>
      <c r="AJ4" s="11"/>
      <c r="AK4" s="11"/>
      <c r="AL4" s="19"/>
      <c r="AM4" s="1"/>
    </row>
    <row r="5" spans="1:39" x14ac:dyDescent="0.2">
      <c r="A5" s="5">
        <v>1</v>
      </c>
      <c r="B5" s="6" t="s">
        <v>38</v>
      </c>
      <c r="C5" s="7">
        <v>46023</v>
      </c>
      <c r="D5" s="23">
        <v>7295554665</v>
      </c>
      <c r="E5" s="5">
        <v>31</v>
      </c>
      <c r="F5" s="5">
        <v>8</v>
      </c>
      <c r="G5" s="6"/>
      <c r="H5" s="6"/>
      <c r="I5" s="6"/>
      <c r="J5" s="6"/>
      <c r="K5" s="5">
        <v>23</v>
      </c>
      <c r="L5" s="5">
        <v>4000000</v>
      </c>
      <c r="M5" s="5">
        <v>200000</v>
      </c>
      <c r="N5" s="5">
        <v>20000</v>
      </c>
      <c r="O5" s="5">
        <f>N5*K5</f>
        <v>460000</v>
      </c>
      <c r="P5" s="5">
        <v>15000</v>
      </c>
      <c r="Q5" s="5">
        <f>K5*P5</f>
        <v>345000</v>
      </c>
      <c r="R5" s="5">
        <v>200000</v>
      </c>
      <c r="S5" s="5">
        <v>200000</v>
      </c>
      <c r="T5" s="5">
        <f>SUM(L5,M5,O5,Q5:S5)</f>
        <v>5405000</v>
      </c>
      <c r="U5" s="5">
        <v>15000</v>
      </c>
      <c r="V5" s="5">
        <v>10</v>
      </c>
      <c r="W5" s="5">
        <f>U5*V5</f>
        <v>150000</v>
      </c>
      <c r="X5" s="5">
        <v>200000</v>
      </c>
      <c r="Y5" s="5">
        <v>100000</v>
      </c>
      <c r="Z5" s="6"/>
      <c r="AA5" s="5">
        <f>SUM(T5,W5,X5,Y5)</f>
        <v>5855000</v>
      </c>
      <c r="AB5" s="6"/>
      <c r="AC5" s="5">
        <v>20000</v>
      </c>
      <c r="AD5" s="5">
        <v>20000</v>
      </c>
      <c r="AE5" s="6"/>
      <c r="AF5" s="5">
        <v>500000</v>
      </c>
      <c r="AG5" s="5">
        <v>2500</v>
      </c>
      <c r="AH5" s="5">
        <v>200000</v>
      </c>
      <c r="AI5" s="5">
        <f>SUM(AC5:AH5)</f>
        <v>742500</v>
      </c>
      <c r="AJ5" s="5">
        <f>AA5-AI5</f>
        <v>5112500</v>
      </c>
      <c r="AK5" s="6" t="s">
        <v>39</v>
      </c>
      <c r="AL5" s="6"/>
      <c r="AM5" s="6"/>
    </row>
  </sheetData>
  <mergeCells count="22">
    <mergeCell ref="AL3:AL4"/>
    <mergeCell ref="P3:Q3"/>
    <mergeCell ref="R3:R4"/>
    <mergeCell ref="S3:S4"/>
    <mergeCell ref="T3:T4"/>
    <mergeCell ref="U3:W3"/>
    <mergeCell ref="X3:X4"/>
    <mergeCell ref="AA3:AA4"/>
    <mergeCell ref="AB3:AB4"/>
    <mergeCell ref="AC3:AI3"/>
    <mergeCell ref="AJ3:AJ4"/>
    <mergeCell ref="AK3:AK4"/>
    <mergeCell ref="M3:M4"/>
    <mergeCell ref="N3:O3"/>
    <mergeCell ref="C3:C4"/>
    <mergeCell ref="Y3:Y4"/>
    <mergeCell ref="Z3:Z4"/>
    <mergeCell ref="A3:A4"/>
    <mergeCell ref="B3:B4"/>
    <mergeCell ref="D3:D4"/>
    <mergeCell ref="E3:K3"/>
    <mergeCell ref="L3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Elian9</cp:lastModifiedBy>
  <dcterms:created xsi:type="dcterms:W3CDTF">2026-01-23T08:59:53Z</dcterms:created>
  <dcterms:modified xsi:type="dcterms:W3CDTF">2026-01-23T09:04:05Z</dcterms:modified>
</cp:coreProperties>
</file>