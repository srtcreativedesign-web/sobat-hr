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<sst xmlns="http://schemas.openxmlformats.org/spreadsheetml/2006/main" count="45" uniqueCount="40">
  <si>
    <t>No</t>
  </si>
  <si>
    <t>Nama Karyawan</t>
  </si>
  <si>
    <t>periode</t>
  </si>
  <si>
    <t>No Rekening</t>
  </si>
  <si>
    <t>Jumlah</t>
  </si>
  <si>
    <t>Gaji Pokok (Rp)</t>
  </si>
  <si>
    <t>Tunj. Jabatan                  ( Rp )</t>
  </si>
  <si>
    <t>Uang Makan (Rp)</t>
  </si>
  <si>
    <t>Transport (Rp)</t>
  </si>
  <si>
    <t>Tunj. Kehadiran      ( Rp )</t>
  </si>
  <si>
    <t>Tunj. Kesehatan      ( Rp )</t>
  </si>
  <si>
    <t>Total Gaji            ( Rp )</t>
  </si>
  <si>
    <t>Lembur ( Rp )</t>
  </si>
  <si>
    <t>Bonus</t>
  </si>
  <si>
    <t>Insentif Lebaran</t>
  </si>
  <si>
    <t>Adj Kekurangan Gaji</t>
  </si>
  <si>
    <t>Total Gaji &amp; Bonus           (Rp)</t>
  </si>
  <si>
    <t>Kebijakan  HO</t>
  </si>
  <si>
    <t>Potongan (Rp)</t>
  </si>
  <si>
    <t xml:space="preserve"> Grand Total (Rp)</t>
  </si>
  <si>
    <t>Masa Kerja</t>
  </si>
  <si>
    <t>Ket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</si>
  <si>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</si>
  <si>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</si>
  <si>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</si>
  <si>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</si>
  <si>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</si>
  <si>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</si>
  <si>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</si>
  <si>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</si>
  <si>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</si>
  <si>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</si>
  <si>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</si>
  <si>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</si>
  <si>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</si>
  <si>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</si>
  <si>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</si>
  <si>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</si>
  <si>
    <t>Gilang Ramadhan</t>
  </si>
  <si>
    <t>2 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</si>
</sst>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mmm yyyy"/>
  </numFmts>
  <fonts count="5">
    <font>
      <sz val="10.0"/>
      <color rgb="FF000000"/>
      <name val="Arial"/>
      <scheme val="minor"/>
    </font>
    <font>
      <sz val="11.0"/>
      <color theme="1"/>
      <name val="Candara"/>
    </font>
    <font/>
    <font>
      <b/>
      <sz val="11.0"/>
      <color theme="1"/>
      <name val="Candar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2" fillId="2" fontId="1" numFmtId="164" xfId="0" applyAlignment="1" applyBorder="1" applyFont="1" applyNumberFormat="1">
      <alignment horizontal="center" shrinkToFit="0" wrapText="1"/>
    </xf>
    <xf borderId="3" fillId="2" fontId="1" numFmtId="164" xfId="0" applyAlignment="1" applyBorder="1" applyFont="1" applyNumberFormat="1">
      <alignment horizontal="center" shrinkToFit="0" wrapText="1"/>
    </xf>
    <xf borderId="2" fillId="2" fontId="3" numFmtId="164" xfId="0" applyAlignment="1" applyBorder="1" applyFont="1" applyNumberFormat="1">
      <alignment horizontal="center" shrinkToFit="0" wrapText="1"/>
    </xf>
    <xf borderId="6" fillId="2" fontId="1" numFmtId="164" xfId="0" applyAlignment="1" applyBorder="1" applyFont="1" applyNumberForma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shrinkToFit="0" wrapText="1"/>
    </xf>
    <xf borderId="12" fillId="2" fontId="1" numFmtId="164" xfId="0" applyAlignment="1" applyBorder="1" applyFont="1" applyNumberFormat="1">
      <alignment horizontal="center" shrinkToFit="0" wrapText="1"/>
    </xf>
    <xf borderId="12" fillId="2" fontId="1" numFmtId="164" xfId="0" applyAlignment="1" applyBorder="1" applyFont="1" applyNumberFormat="1">
      <alignment shrinkToFit="0" wrapText="1"/>
    </xf>
    <xf borderId="13" fillId="0" fontId="2" numFmtId="0" xfId="0" applyBorder="1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 t="s">
        <v>1</v>
      </c>
      <c r="C3" s="3" t="s">
        <v>2</v>
      </c>
      <c r="D3" s="2" t="s">
        <v>3</v>
      </c>
      <c r="E3" s="4" t="s">
        <v>4</v>
      </c>
      <c r="F3" s="5"/>
      <c r="G3" s="5"/>
      <c r="H3" s="5"/>
      <c r="I3" s="5"/>
      <c r="J3" s="5"/>
      <c r="K3" s="6"/>
      <c r="L3" s="2" t="s">
        <v>5</v>
      </c>
      <c r="M3" s="7" t="s">
        <v>6</v>
      </c>
      <c r="N3" s="8" t="s">
        <v>7</v>
      </c>
      <c r="O3" s="6"/>
      <c r="P3" s="8" t="s">
        <v>8</v>
      </c>
      <c r="Q3" s="6"/>
      <c r="R3" s="7" t="s">
        <v>9</v>
      </c>
      <c r="S3" s="7" t="s">
        <v>10</v>
      </c>
      <c r="T3" s="9" t="s">
        <v>11</v>
      </c>
      <c r="U3" s="10" t="s">
        <v>12</v>
      </c>
      <c r="V3" s="11"/>
      <c r="W3" s="12"/>
      <c r="X3" s="7" t="s">
        <v>13</v>
      </c>
      <c r="Y3" s="7" t="s">
        <v>14</v>
      </c>
      <c r="Z3" s="7" t="s">
        <v>15</v>
      </c>
      <c r="AA3" s="9" t="s">
        <v>16</v>
      </c>
      <c r="AB3" s="9" t="s">
        <v>17</v>
      </c>
      <c r="AC3" s="8" t="s">
        <v>18</v>
      </c>
      <c r="AD3" s="5"/>
      <c r="AE3" s="5"/>
      <c r="AF3" s="5"/>
      <c r="AG3" s="5"/>
      <c r="AH3" s="5"/>
      <c r="AI3" s="6"/>
      <c r="AJ3" s="9" t="s">
        <v>19</v>
      </c>
      <c r="AK3" s="2" t="s">
        <v>20</v>
      </c>
      <c r="AL3" s="13" t="s">
        <v>21</v>
      </c>
      <c r="AM3" s="14"/>
    </row>
    <row r="4">
      <c r="A4" s="15"/>
      <c r="B4" s="16"/>
      <c r="C4" s="16"/>
      <c r="D4" s="16"/>
      <c r="E4" s="17" t="s">
        <v>22</v>
      </c>
      <c r="F4" s="17" t="s">
        <v>23</v>
      </c>
      <c r="G4" s="17" t="s">
        <v>24</v>
      </c>
      <c r="H4" s="17" t="s">
        <v>25</v>
      </c>
      <c r="I4" s="17" t="s">
        <v>26</v>
      </c>
      <c r="J4" s="17" t="s">
        <v>27</v>
      </c>
      <c r="K4" s="17" t="s">
        <v>28</v>
      </c>
      <c r="L4" s="16"/>
      <c r="M4" s="16"/>
      <c r="N4" s="18" t="s">
        <v>29</v>
      </c>
      <c r="O4" s="18" t="s">
        <v>4</v>
      </c>
      <c r="P4" s="18" t="s">
        <v>29</v>
      </c>
      <c r="Q4" s="18" t="s">
        <v>4</v>
      </c>
      <c r="R4" s="16"/>
      <c r="S4" s="16"/>
      <c r="T4" s="16"/>
      <c r="U4" s="18" t="s">
        <v>30</v>
      </c>
      <c r="V4" s="18" t="s">
        <v>31</v>
      </c>
      <c r="W4" s="18" t="s">
        <v>4</v>
      </c>
      <c r="X4" s="16"/>
      <c r="Y4" s="16"/>
      <c r="Z4" s="16"/>
      <c r="AA4" s="16"/>
      <c r="AB4" s="16"/>
      <c r="AC4" s="18" t="s">
        <v>32</v>
      </c>
      <c r="AD4" s="18" t="s">
        <v>33</v>
      </c>
      <c r="AE4" s="18" t="s">
        <v>34</v>
      </c>
      <c r="AF4" s="19" t="s">
        <v>35</v>
      </c>
      <c r="AG4" s="19" t="s">
        <v>36</v>
      </c>
      <c r="AH4" s="18" t="s">
        <v>37</v>
      </c>
      <c r="AI4" s="18" t="s">
        <v>4</v>
      </c>
      <c r="AJ4" s="16"/>
      <c r="AK4" s="16"/>
      <c r="AL4" s="20"/>
      <c r="AM4" s="14"/>
    </row>
    <row r="5">
      <c r="A5" s="21">
        <v>1.0</v>
      </c>
      <c r="B5" s="22" t="s">
        <v>38</v>
      </c>
      <c r="C5" s="23">
        <v>46023.0</v>
      </c>
      <c r="D5" s="23">
        <v>7.436438E8</v>
      </c>
      <c r="E5" s="21">
        <v>31.0</v>
      </c>
      <c r="F5" s="21">
        <v>8.0</v>
      </c>
      <c r="G5" s="22"/>
      <c r="H5" s="22"/>
      <c r="I5" s="22"/>
      <c r="J5" s="22"/>
      <c r="K5" s="21">
        <v>23.0</v>
      </c>
      <c r="L5" s="21">
        <v>4000000.0</v>
      </c>
      <c r="M5" s="21">
        <v>200000.0</v>
      </c>
      <c r="N5" s="21">
        <v>20000.0</v>
      </c>
      <c r="O5" s="21">
        <f>N5*K5</f>
        <v>460000</v>
      </c>
      <c r="P5" s="21">
        <v>15000.0</v>
      </c>
      <c r="Q5" s="21">
        <f>K5*P5</f>
        <v>345000</v>
      </c>
      <c r="R5" s="21">
        <v>200000.0</v>
      </c>
      <c r="S5" s="21">
        <v>200000.0</v>
      </c>
      <c r="T5" s="21">
        <f>sum(L5,M5,O5,Q5:S5)</f>
        <v>5405000</v>
      </c>
      <c r="U5" s="21">
        <v>15000.0</v>
      </c>
      <c r="V5" s="24">
        <v>10.0</v>
      </c>
      <c r="W5" s="21">
        <f>U5*V5</f>
        <v>150000</v>
      </c>
      <c r="X5" s="21">
        <v>200000.0</v>
      </c>
      <c r="Y5" s="21">
        <v>100000.0</v>
      </c>
      <c r="Z5" s="22"/>
      <c r="AA5" s="21">
        <f>sum(T5,W5,X5,Y5)</f>
        <v>5855000</v>
      </c>
      <c r="AB5" s="22"/>
      <c r="AC5" s="21">
        <v>20000.0</v>
      </c>
      <c r="AD5" s="21">
        <v>20000.0</v>
      </c>
      <c r="AE5" s="22"/>
      <c r="AF5" s="21">
        <v>500000.0</v>
      </c>
      <c r="AG5" s="21">
        <v>2500.0</v>
      </c>
      <c r="AH5" s="21">
        <v>200000.0</v>
      </c>
      <c r="AI5" s="21">
        <f>sum(AC5:AH5)</f>
        <v>742500</v>
      </c>
      <c r="AJ5" s="21">
        <f>AA5-AI5</f>
        <v>5112500</v>
      </c>
      <c r="AK5" s="22" t="s">
        <v>39</v>
      </c>
      <c r="AL5" s="22"/>
      <c r="AM5" s="22"/>
    </row>
  </sheetData>
  <mergeCells count="22">
    <mergeCell ref="A3:A4"/>
    <mergeCell ref="B3:B4"/>
    <mergeCell ref="D3:D4"/>
    <mergeCell ref="E3:K3"/>
    <mergeCell ref="L3:L4"/>
    <mergeCell ref="M3:M4"/>
    <mergeCell ref="N3:O3"/>
    <mergeCell ref="C3:C4"/>
    <mergeCell ref="Y3:Y4"/>
    <mergeCell ref="Z3:Z4"/>
    <mergeCell ref="AA3:AA4"/>
    <mergeCell ref="AB3:AB4"/>
    <mergeCell ref="AC3:AI3"/>
    <mergeCell ref="AJ3:AJ4"/>
    <mergeCell ref="AK3:AK4"/>
    <mergeCell ref="AL3:AL4"/>
    <mergeCell ref="P3:Q3"/>
    <mergeCell ref="R3:R4"/>
    <mergeCell ref="S3:S4"/>
    <mergeCell ref="T3:T4"/>
    <mergeCell ref="U3:W3"/>
    <mergeCell ref="X3:X4"/>
  </mergeCells>
  <drawing r:id="rId1"/>
</worksheet>
</file>