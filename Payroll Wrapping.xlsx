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<sst xmlns="http://schemas.openxmlformats.org/spreadsheetml/2006/main" count="44" uniqueCount="39">
  <si>
    <t>No</t>
  </si>
  <si>
    <t>Nama Karyawan</t>
  </si>
  <si>
    <t>Periode</t>
  </si>
  <si>
    <t>No Rekening</t>
  </si>
  <si>
    <t>Jumlah</t>
  </si>
  <si>
    <t>Gaji Pokok (Rp)</t>
  </si>
  <si>
    <t>Gaji  Training (Rp)</t>
  </si>
  <si>
    <t>Uang Makan (Rp)</t>
  </si>
  <si>
    <t>Transport (Rp)</t>
  </si>
  <si>
    <t>Tunj. Kehadiran</t>
  </si>
  <si>
    <t>Tunj. Kesehatan      ( Rp )</t>
  </si>
  <si>
    <t>Bonus</t>
  </si>
  <si>
    <t>Total Gaji            ( Rp )</t>
  </si>
  <si>
    <t>Lembur ( Rp )</t>
  </si>
  <si>
    <t>Target Koli</t>
  </si>
  <si>
    <t>Fee Aksesoris</t>
  </si>
  <si>
    <t>Total Gaji &amp; Bonus           (Rp)</t>
  </si>
  <si>
    <t>Adj gaji  terpotong BPJS tapi tidak terdaftar</t>
  </si>
  <si>
    <t>Potongan (Rp)</t>
  </si>
  <si>
    <t xml:space="preserve"> Grand Total (Rp)</t>
  </si>
  <si>
    <t>Pinjaman EWA</t>
  </si>
  <si>
    <t>payroll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</si>
  <si>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</si>
  <si>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</si>
  <si>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</si>
  <si>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</si>
  <si>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</si>
  <si>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</si>
  <si>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</si>
  <si>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</si>
  <si>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</si>
  <si>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</si>
  <si>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</si>
  <si>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</si>
  <si>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Tidak Hadir</t>
  </si>
  <si>
    <t>Pinjaman</t>
  </si>
  <si>
    <t>Adm Bank</t>
  </si>
  <si>
    <t>BPJS TK</t>
  </si>
  <si>
    <t>Iwan Fals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</si>
</sst>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mmm yyyy"/>
  </numFmts>
  <fonts count="6">
    <font>
      <sz val="10.0"/>
      <color rgb="FF000000"/>
      <name val="Arial"/>
      <scheme val="minor"/>
    </font>
    <font>
      <sz val="11.0"/>
      <color theme="1"/>
      <name val="Candara"/>
    </font>
    <font/>
    <font>
      <b/>
      <sz val="11.0"/>
      <color theme="1"/>
      <name val="Candara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3" fillId="2" fontId="1" numFmtId="164" xfId="0" applyAlignment="1" applyBorder="1" applyFont="1" applyNumberFormat="1">
      <alignment horizontal="center" shrinkToFit="0" wrapText="1"/>
    </xf>
    <xf borderId="2" fillId="2" fontId="1" numFmtId="164" xfId="0" applyAlignment="1" applyBorder="1" applyFont="1" applyNumberFormat="1">
      <alignment horizontal="center" shrinkToFit="0" wrapText="1"/>
    </xf>
    <xf borderId="2" fillId="2" fontId="3" numFmtId="164" xfId="0" applyAlignment="1" applyBorder="1" applyFont="1" applyNumberFormat="1">
      <alignment horizontal="center" shrinkToFit="0" wrapText="1"/>
    </xf>
    <xf borderId="6" fillId="2" fontId="1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shrinkToFit="0" wrapText="1"/>
    </xf>
    <xf borderId="9" fillId="2" fontId="1" numFmtId="164" xfId="0" applyAlignment="1" applyBorder="1" applyFont="1" applyNumberFormat="1">
      <alignment horizontal="center" shrinkToFit="0" wrapText="1"/>
    </xf>
    <xf borderId="9" fillId="2" fontId="1" numFmtId="164" xfId="0" applyAlignment="1" applyBorder="1" applyFont="1" applyNumberFormat="1">
      <alignment shrinkToFit="0" wrapText="1"/>
    </xf>
    <xf borderId="10" fillId="0" fontId="2" numFmtId="0" xfId="0" applyBorder="1" applyFont="1"/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11" fillId="0" fontId="5" numFmtId="0" xfId="0" applyAlignment="1" applyBorder="1" applyFon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2" t="s">
        <v>3</v>
      </c>
      <c r="E2" s="4" t="s">
        <v>4</v>
      </c>
      <c r="F2" s="5"/>
      <c r="G2" s="5"/>
      <c r="H2" s="5"/>
      <c r="I2" s="5"/>
      <c r="J2" s="5"/>
      <c r="K2" s="6"/>
      <c r="L2" s="2" t="s">
        <v>5</v>
      </c>
      <c r="M2" s="2" t="s">
        <v>6</v>
      </c>
      <c r="N2" s="7" t="s">
        <v>7</v>
      </c>
      <c r="O2" s="6"/>
      <c r="P2" s="7" t="s">
        <v>8</v>
      </c>
      <c r="Q2" s="6"/>
      <c r="R2" s="8" t="s">
        <v>9</v>
      </c>
      <c r="S2" s="8" t="s">
        <v>10</v>
      </c>
      <c r="T2" s="8" t="s">
        <v>11</v>
      </c>
      <c r="U2" s="9" t="s">
        <v>12</v>
      </c>
      <c r="V2" s="7" t="s">
        <v>13</v>
      </c>
      <c r="W2" s="5"/>
      <c r="X2" s="6"/>
      <c r="Y2" s="8" t="s">
        <v>14</v>
      </c>
      <c r="Z2" s="8" t="s">
        <v>15</v>
      </c>
      <c r="AA2" s="9" t="s">
        <v>16</v>
      </c>
      <c r="AB2" s="9" t="s">
        <v>17</v>
      </c>
      <c r="AC2" s="7" t="s">
        <v>18</v>
      </c>
      <c r="AD2" s="5"/>
      <c r="AE2" s="5"/>
      <c r="AF2" s="5"/>
      <c r="AG2" s="5"/>
      <c r="AH2" s="5"/>
      <c r="AI2" s="6"/>
      <c r="AJ2" s="9" t="s">
        <v>19</v>
      </c>
      <c r="AK2" s="2" t="s">
        <v>20</v>
      </c>
      <c r="AL2" s="10" t="s">
        <v>21</v>
      </c>
    </row>
    <row r="3" ht="48.0" customHeight="1">
      <c r="A3" s="11"/>
      <c r="B3" s="12"/>
      <c r="C3" s="12"/>
      <c r="D3" s="12"/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3" t="s">
        <v>27</v>
      </c>
      <c r="K3" s="13" t="s">
        <v>28</v>
      </c>
      <c r="L3" s="12"/>
      <c r="M3" s="12"/>
      <c r="N3" s="14" t="s">
        <v>29</v>
      </c>
      <c r="O3" s="14" t="s">
        <v>4</v>
      </c>
      <c r="P3" s="14" t="s">
        <v>29</v>
      </c>
      <c r="Q3" s="14" t="s">
        <v>4</v>
      </c>
      <c r="R3" s="12"/>
      <c r="S3" s="12"/>
      <c r="T3" s="12"/>
      <c r="U3" s="12"/>
      <c r="V3" s="14" t="s">
        <v>30</v>
      </c>
      <c r="W3" s="14" t="s">
        <v>31</v>
      </c>
      <c r="X3" s="14" t="s">
        <v>4</v>
      </c>
      <c r="Y3" s="12"/>
      <c r="Z3" s="12"/>
      <c r="AA3" s="12"/>
      <c r="AB3" s="12"/>
      <c r="AC3" s="14" t="s">
        <v>32</v>
      </c>
      <c r="AD3" s="14" t="s">
        <v>33</v>
      </c>
      <c r="AE3" s="14" t="s">
        <v>34</v>
      </c>
      <c r="AF3" s="15" t="s">
        <v>35</v>
      </c>
      <c r="AG3" s="15" t="s">
        <v>36</v>
      </c>
      <c r="AH3" s="14" t="s">
        <v>37</v>
      </c>
      <c r="AI3" s="14" t="s">
        <v>4</v>
      </c>
      <c r="AJ3" s="12"/>
      <c r="AK3" s="12"/>
      <c r="AL3" s="16"/>
    </row>
    <row r="4">
      <c r="A4" s="17">
        <v>1.0</v>
      </c>
      <c r="B4" s="17" t="s">
        <v>38</v>
      </c>
      <c r="C4" s="18">
        <v>46023.0</v>
      </c>
      <c r="D4" s="17">
        <v>2.56523872E8</v>
      </c>
      <c r="E4" s="19">
        <v>31.0</v>
      </c>
      <c r="F4" s="19">
        <v>8.0</v>
      </c>
      <c r="G4" s="19">
        <v>1.0</v>
      </c>
      <c r="H4" s="19">
        <v>1.0</v>
      </c>
      <c r="K4" s="17">
        <v>21.0</v>
      </c>
      <c r="L4" s="17">
        <v>3000000.0</v>
      </c>
      <c r="N4" s="17">
        <v>15000.0</v>
      </c>
      <c r="O4" s="20">
        <f>N4*K4</f>
        <v>315000</v>
      </c>
      <c r="P4" s="17">
        <v>20000.0</v>
      </c>
      <c r="Q4" s="20">
        <f>P4*K4</f>
        <v>420000</v>
      </c>
      <c r="R4" s="17">
        <v>100000.0</v>
      </c>
      <c r="S4" s="17">
        <v>200000.0</v>
      </c>
      <c r="T4" s="17">
        <v>100000.0</v>
      </c>
      <c r="U4" s="20">
        <f>sum(L4,Q4,R4,S4,T4)</f>
        <v>3820000</v>
      </c>
      <c r="V4" s="17">
        <v>20000.0</v>
      </c>
      <c r="W4" s="17">
        <v>15.0</v>
      </c>
      <c r="X4" s="20">
        <f>W4*V4</f>
        <v>300000</v>
      </c>
      <c r="Y4" s="17">
        <v>100000.0</v>
      </c>
      <c r="Z4" s="17">
        <v>100000.0</v>
      </c>
      <c r="AA4" s="20">
        <f>sum(U4:Z4)</f>
        <v>4340015</v>
      </c>
      <c r="AC4" s="17">
        <v>20000.0</v>
      </c>
      <c r="AD4" s="17">
        <v>20000.0</v>
      </c>
      <c r="AF4" s="17">
        <v>200000.0</v>
      </c>
      <c r="AG4" s="17">
        <v>2500.0</v>
      </c>
      <c r="AH4" s="17">
        <v>200000.0</v>
      </c>
      <c r="AI4" s="20">
        <f>sum(AC4:AH4)</f>
        <v>442500</v>
      </c>
      <c r="AJ4" s="20">
        <f>AA4-AI4</f>
        <v>3897515</v>
      </c>
      <c r="AK4" s="17">
        <v>200000.0</v>
      </c>
      <c r="AL4" s="20">
        <f>AJ4-AK4</f>
        <v>3697515</v>
      </c>
    </row>
  </sheetData>
  <mergeCells count="22">
    <mergeCell ref="A2:A3"/>
    <mergeCell ref="B2:B3"/>
    <mergeCell ref="D2:D3"/>
    <mergeCell ref="E2:K2"/>
    <mergeCell ref="L2:L3"/>
    <mergeCell ref="M2:M3"/>
    <mergeCell ref="N2:O2"/>
    <mergeCell ref="C2:C3"/>
    <mergeCell ref="Z2:Z3"/>
    <mergeCell ref="AA2:AA3"/>
    <mergeCell ref="AB2:AB3"/>
    <mergeCell ref="AC2:AI2"/>
    <mergeCell ref="AJ2:AJ3"/>
    <mergeCell ref="AK2:AK3"/>
    <mergeCell ref="AL2:AL3"/>
    <mergeCell ref="P2:Q2"/>
    <mergeCell ref="R2:R3"/>
    <mergeCell ref="S2:S3"/>
    <mergeCell ref="T2:T3"/>
    <mergeCell ref="U2:U3"/>
    <mergeCell ref="V2:X2"/>
    <mergeCell ref="Y2:Y3"/>
  </mergeCells>
  <drawing r:id="rId1"/>
</worksheet>
</file>