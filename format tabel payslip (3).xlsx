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<sst xmlns="http://schemas.openxmlformats.org/spreadsheetml/2006/main" count="41" uniqueCount="36">
  <si>
    <t>Periode</t>
  </si>
  <si>
    <t>Nama Karyawan</t>
  </si>
  <si>
    <t>No Rekening</t>
  </si>
  <si>
    <t>Jumlah</t>
  </si>
  <si>
    <t>Gaji Pokok (Rp)</t>
  </si>
  <si>
    <t>Kehadiran</t>
  </si>
  <si>
    <t>Transport (Rp)</t>
  </si>
  <si>
    <t>Tunj. Kesehatan      ( Rp )</t>
  </si>
  <si>
    <t>Tunj. Jabatan                  ( Rp )</t>
  </si>
  <si>
    <t>Total Gaji            ( Rp )</t>
  </si>
  <si>
    <t>Lembur ( Rp )</t>
  </si>
  <si>
    <t>Insentif Lebaran</t>
  </si>
  <si>
    <t>Adj Kekurangan Gaji</t>
  </si>
  <si>
    <t>Total Gaji (Rp)</t>
  </si>
  <si>
    <t>Kebijakan  HO</t>
  </si>
  <si>
    <t>Potongan (Rp)</t>
  </si>
  <si>
    <t xml:space="preserve"> Grand Total (Rp)</t>
  </si>
  <si>
    <t>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</si>
  <si>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</si>
  <si>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</si>
  <si>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</si>
  <si>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</si>
  <si>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</si>
  <si>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</si>
  <si>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</si>
  <si>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</si>
  <si>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</si>
  <si>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</si>
  <si>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</si>
  <si>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</si>
  <si>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</si>
  <si>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</si>
  <si>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</si>
  <si>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</si>
  <si>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</si>
  <si>
    <t>Maya Estianty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</si>
</sst>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mmm yyyy"/>
  </numFmts>
  <fonts count="5">
    <font>
      <sz val="10.0"/>
      <color rgb="FF000000"/>
      <name val="Arial"/>
      <scheme val="minor"/>
    </font>
    <font>
      <sz val="11.0"/>
      <color theme="1"/>
      <name val="Candara"/>
    </font>
    <font>
      <b/>
      <sz val="11.0"/>
      <color theme="1"/>
      <name val="Candara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2" fontId="2" numFmtId="164" xfId="0" applyAlignment="1" applyFont="1" applyNumberForma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2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2" numFmtId="164" xfId="0" applyAlignment="1" applyBorder="1" applyFont="1" applyNumberFormat="1">
      <alignment horizontal="center" shrinkToFit="0" wrapText="1"/>
    </xf>
    <xf borderId="5" fillId="2" fontId="2" numFmtId="164" xfId="0" applyAlignment="1" applyBorder="1" applyFont="1" applyNumberFormat="1">
      <alignment horizontal="center" shrinkToFit="0" wrapText="1"/>
    </xf>
    <xf borderId="5" fillId="2" fontId="1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5" fillId="2" fontId="1" numFmtId="0" xfId="0" applyAlignment="1" applyBorder="1" applyFont="1">
      <alignment horizontal="center" shrinkToFit="0" wrapText="1"/>
    </xf>
    <xf borderId="5" fillId="2" fontId="1" numFmtId="164" xfId="0" applyAlignment="1" applyBorder="1" applyFont="1" applyNumberFormat="1">
      <alignment horizontal="center" shrinkToFit="0" wrapText="1"/>
    </xf>
    <xf borderId="5" fillId="2" fontId="1" numFmtId="164" xfId="0" applyAlignment="1" applyBorder="1" applyFont="1" applyNumberFormat="1">
      <alignment shrinkToFit="0" wrapText="1"/>
    </xf>
    <xf borderId="5" fillId="0" fontId="4" numFmtId="165" xfId="0" applyAlignment="1" applyBorder="1" applyFont="1" applyNumberForma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0"/>
    <col customWidth="1" min="3" max="3" width="10.88"/>
    <col customWidth="1" min="4" max="4" width="6.5"/>
    <col customWidth="1" min="5" max="5" width="3.38"/>
    <col customWidth="1" min="6" max="6" width="4.75"/>
    <col customWidth="1" min="7" max="7" width="3.25"/>
    <col customWidth="1" min="8" max="8" width="4.13"/>
    <col customWidth="1" min="9" max="10" width="4.0"/>
    <col customWidth="1" min="11" max="11" width="9.13"/>
    <col customWidth="1" min="12" max="12" width="9.25"/>
    <col customWidth="1" min="13" max="13" width="7.0"/>
    <col customWidth="1" min="14" max="14" width="12.75"/>
    <col customWidth="1" min="15" max="15" width="7.0"/>
    <col customWidth="1" min="16" max="16" width="16.75"/>
    <col customWidth="1" min="17" max="17" width="11.63"/>
    <col customWidth="1" min="18" max="18" width="8.63"/>
    <col customWidth="1" min="19" max="19" width="12.0"/>
    <col customWidth="1" min="20" max="20" width="4.5"/>
    <col customWidth="1" min="21" max="21" width="7.0"/>
    <col customWidth="1" min="22" max="22" width="7.25"/>
    <col customWidth="1" min="23" max="23" width="13.63"/>
    <col customWidth="1" min="24" max="24" width="12.5"/>
    <col customWidth="1" min="25" max="25" width="12.38"/>
    <col customWidth="1" min="26" max="26" width="12.75"/>
    <col customWidth="1" min="27" max="27" width="9.25"/>
    <col customWidth="1" min="28" max="28" width="8.88"/>
    <col customWidth="1" min="29" max="29" width="8.5"/>
    <col customWidth="1" min="30" max="30" width="9.25"/>
    <col customWidth="1" min="31" max="31" width="7.5"/>
    <col customWidth="1" min="32" max="32" width="7.0"/>
    <col customWidth="1" min="33" max="33" width="10.88"/>
    <col customWidth="1" min="34" max="35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3"/>
      <c r="Y1" s="3"/>
      <c r="Z1" s="2"/>
      <c r="AA1" s="2"/>
      <c r="AB1" s="2"/>
      <c r="AC1" s="2"/>
      <c r="AD1" s="2"/>
      <c r="AE1" s="2"/>
      <c r="AF1" s="2"/>
      <c r="AG1" s="3"/>
      <c r="AH1" s="1"/>
      <c r="AI1" s="1"/>
    </row>
    <row r="2" ht="63.0" customHeight="1">
      <c r="A2" s="4" t="s">
        <v>0</v>
      </c>
      <c r="B2" s="5" t="s">
        <v>1</v>
      </c>
      <c r="C2" s="5" t="s">
        <v>2</v>
      </c>
      <c r="D2" s="6" t="s">
        <v>3</v>
      </c>
      <c r="E2" s="7"/>
      <c r="F2" s="7"/>
      <c r="G2" s="7"/>
      <c r="H2" s="7"/>
      <c r="I2" s="7"/>
      <c r="J2" s="8"/>
      <c r="K2" s="5" t="s">
        <v>4</v>
      </c>
      <c r="L2" s="9" t="s">
        <v>5</v>
      </c>
      <c r="M2" s="8"/>
      <c r="N2" s="9" t="s">
        <v>6</v>
      </c>
      <c r="O2" s="8"/>
      <c r="P2" s="10" t="s">
        <v>7</v>
      </c>
      <c r="Q2" s="10" t="s">
        <v>8</v>
      </c>
      <c r="R2" s="11" t="s">
        <v>9</v>
      </c>
      <c r="S2" s="9" t="s">
        <v>10</v>
      </c>
      <c r="T2" s="7"/>
      <c r="U2" s="8"/>
      <c r="V2" s="10" t="s">
        <v>11</v>
      </c>
      <c r="W2" s="10" t="s">
        <v>12</v>
      </c>
      <c r="X2" s="11" t="s">
        <v>13</v>
      </c>
      <c r="Y2" s="11" t="s">
        <v>14</v>
      </c>
      <c r="Z2" s="9" t="s">
        <v>15</v>
      </c>
      <c r="AA2" s="7"/>
      <c r="AB2" s="7"/>
      <c r="AC2" s="7"/>
      <c r="AD2" s="7"/>
      <c r="AE2" s="7"/>
      <c r="AF2" s="8"/>
      <c r="AG2" s="12" t="s">
        <v>16</v>
      </c>
      <c r="AH2" s="13" t="s">
        <v>17</v>
      </c>
      <c r="AI2" s="13" t="s">
        <v>18</v>
      </c>
    </row>
    <row r="3" ht="15.0" customHeight="1">
      <c r="A3" s="14"/>
      <c r="B3" s="14"/>
      <c r="C3" s="14"/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  <c r="J3" s="15" t="s">
        <v>25</v>
      </c>
      <c r="K3" s="14"/>
      <c r="L3" s="16" t="s">
        <v>26</v>
      </c>
      <c r="M3" s="16" t="s">
        <v>3</v>
      </c>
      <c r="N3" s="16" t="s">
        <v>26</v>
      </c>
      <c r="O3" s="16" t="s">
        <v>3</v>
      </c>
      <c r="P3" s="14"/>
      <c r="Q3" s="14"/>
      <c r="R3" s="14"/>
      <c r="S3" s="16" t="s">
        <v>27</v>
      </c>
      <c r="T3" s="16" t="s">
        <v>28</v>
      </c>
      <c r="U3" s="16" t="s">
        <v>3</v>
      </c>
      <c r="V3" s="14"/>
      <c r="W3" s="14"/>
      <c r="X3" s="14"/>
      <c r="Y3" s="14"/>
      <c r="Z3" s="16" t="s">
        <v>29</v>
      </c>
      <c r="AA3" s="16" t="s">
        <v>30</v>
      </c>
      <c r="AB3" s="16" t="s">
        <v>31</v>
      </c>
      <c r="AC3" s="17" t="s">
        <v>32</v>
      </c>
      <c r="AD3" s="17" t="s">
        <v>33</v>
      </c>
      <c r="AE3" s="16" t="s">
        <v>34</v>
      </c>
      <c r="AF3" s="16" t="s">
        <v>3</v>
      </c>
      <c r="AG3" s="12"/>
      <c r="AH3" s="15"/>
      <c r="AI3" s="15"/>
    </row>
    <row r="4">
      <c r="A4" s="18">
        <v>46023.0</v>
      </c>
      <c r="B4" s="19" t="s">
        <v>35</v>
      </c>
      <c r="C4" s="19">
        <v>7.295554665E9</v>
      </c>
      <c r="D4" s="19">
        <v>31.0</v>
      </c>
      <c r="E4" s="19">
        <v>8.0</v>
      </c>
      <c r="F4" s="19">
        <v>2.0</v>
      </c>
      <c r="G4" s="19">
        <v>1.0</v>
      </c>
      <c r="H4" s="20"/>
      <c r="I4" s="19">
        <v>1.0</v>
      </c>
      <c r="J4" s="20">
        <f>D4-E4-F4-G4</f>
        <v>20</v>
      </c>
      <c r="K4" s="19">
        <v>5000000.0</v>
      </c>
      <c r="L4" s="19">
        <v>10000.0</v>
      </c>
      <c r="M4" s="20">
        <f>J4*L4</f>
        <v>200000</v>
      </c>
      <c r="N4" s="19">
        <v>10000.0</v>
      </c>
      <c r="O4" s="20">
        <f>J4*N4</f>
        <v>200000</v>
      </c>
      <c r="P4" s="19">
        <v>100000.0</v>
      </c>
      <c r="Q4" s="19">
        <v>100000.0</v>
      </c>
      <c r="R4" s="20">
        <f>sum(K4,M4,O4,P4,Q4)</f>
        <v>5600000</v>
      </c>
      <c r="S4" s="19">
        <v>10000.0</v>
      </c>
      <c r="T4" s="19">
        <v>5.0</v>
      </c>
      <c r="U4" s="20">
        <f>S4*T4</f>
        <v>50000</v>
      </c>
      <c r="V4" s="19">
        <v>100000.0</v>
      </c>
      <c r="W4" s="20"/>
      <c r="X4" s="20">
        <f>sum(R4,U4,V4)</f>
        <v>5750000</v>
      </c>
      <c r="Y4" s="20"/>
      <c r="Z4" s="19">
        <v>20000.0</v>
      </c>
      <c r="AA4" s="19">
        <v>20000.0</v>
      </c>
      <c r="AB4" s="19">
        <v>50000.0</v>
      </c>
      <c r="AC4" s="19">
        <v>200000.0</v>
      </c>
      <c r="AD4" s="19">
        <v>2500.0</v>
      </c>
      <c r="AE4" s="19">
        <v>217000.0</v>
      </c>
      <c r="AF4" s="20">
        <f>sum(Z4:AE4)</f>
        <v>509500</v>
      </c>
      <c r="AG4" s="20">
        <f>X4-AF4</f>
        <v>5240500</v>
      </c>
      <c r="AH4" s="19">
        <v>517500.0</v>
      </c>
      <c r="AI4" s="19">
        <f>AG4-AH4</f>
        <v>4723000</v>
      </c>
    </row>
  </sheetData>
  <mergeCells count="16">
    <mergeCell ref="A2:A3"/>
    <mergeCell ref="B2:B3"/>
    <mergeCell ref="C2:C3"/>
    <mergeCell ref="D2:J2"/>
    <mergeCell ref="K2:K3"/>
    <mergeCell ref="L2:M2"/>
    <mergeCell ref="N2:O2"/>
    <mergeCell ref="S2:U2"/>
    <mergeCell ref="Z2:AF2"/>
    <mergeCell ref="P2:P3"/>
    <mergeCell ref="Q2:Q3"/>
    <mergeCell ref="R2:R3"/>
    <mergeCell ref="V2:V3"/>
    <mergeCell ref="W2:W3"/>
    <mergeCell ref="X2:X3"/>
    <mergeCell ref="Y2:Y3"/>
  </mergeCells>
  <drawing r:id="rId1"/>
</worksheet>
</file>